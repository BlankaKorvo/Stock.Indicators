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fileSharing readOnlyRecommended="1"/>
  <workbookPr filterPrivacy="1"/>
  <bookViews>
    <workbookView xWindow="-28920" yWindow="-120" windowWidth="29040" windowHeight="15840"/>
  </bookViews>
  <sheets>
    <sheet name="SMA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L253" i="1" s="1"/>
  <c r="I254" i="1"/>
  <c r="L254" i="1" s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L299" i="1" s="1"/>
  <c r="I300" i="1"/>
  <c r="L300" i="1" s="1"/>
  <c r="I301" i="1"/>
  <c r="I302" i="1"/>
  <c r="L302" i="1" s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L334" i="1" s="1"/>
  <c r="I335" i="1"/>
  <c r="I336" i="1"/>
  <c r="I337" i="1"/>
  <c r="I338" i="1"/>
  <c r="I339" i="1"/>
  <c r="I340" i="1"/>
  <c r="I341" i="1"/>
  <c r="I342" i="1"/>
  <c r="I343" i="1"/>
  <c r="I344" i="1"/>
  <c r="I345" i="1"/>
  <c r="I346" i="1"/>
  <c r="L346" i="1" s="1"/>
  <c r="I347" i="1"/>
  <c r="L347" i="1" s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L363" i="1" s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L395" i="1" s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L411" i="1" s="1"/>
  <c r="I412" i="1"/>
  <c r="I413" i="1"/>
  <c r="I414" i="1"/>
  <c r="L414" i="1" s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L429" i="1" s="1"/>
  <c r="I430" i="1"/>
  <c r="L430" i="1" s="1"/>
  <c r="I431" i="1"/>
  <c r="I432" i="1"/>
  <c r="I433" i="1"/>
  <c r="I434" i="1"/>
  <c r="I435" i="1"/>
  <c r="I436" i="1"/>
  <c r="I437" i="1"/>
  <c r="I438" i="1"/>
  <c r="I439" i="1"/>
  <c r="I440" i="1"/>
  <c r="I441" i="1"/>
  <c r="I442" i="1"/>
  <c r="L442" i="1" s="1"/>
  <c r="I443" i="1"/>
  <c r="L443" i="1" s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L460" i="1" s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L475" i="1" s="1"/>
  <c r="I476" i="1"/>
  <c r="L476" i="1" s="1"/>
  <c r="I477" i="1"/>
  <c r="L477" i="1" s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L491" i="1" s="1"/>
  <c r="I492" i="1"/>
  <c r="I493" i="1"/>
  <c r="L493" i="1" s="1"/>
  <c r="I494" i="1"/>
  <c r="L494" i="1" s="1"/>
  <c r="I495" i="1"/>
  <c r="I496" i="1"/>
  <c r="I497" i="1"/>
  <c r="I498" i="1"/>
  <c r="I499" i="1"/>
  <c r="I500" i="1"/>
  <c r="I501" i="1"/>
  <c r="I502" i="1"/>
  <c r="I503" i="1"/>
  <c r="I30" i="1"/>
  <c r="L203" i="1"/>
  <c r="L235" i="1"/>
  <c r="L237" i="1"/>
  <c r="L269" i="1"/>
  <c r="L270" i="1"/>
  <c r="L271" i="1"/>
  <c r="L303" i="1"/>
  <c r="L348" i="1"/>
  <c r="L380" i="1"/>
  <c r="L381" i="1"/>
  <c r="L382" i="1"/>
  <c r="L397" i="1"/>
  <c r="L415" i="1"/>
  <c r="L431" i="1"/>
  <c r="L458" i="1"/>
  <c r="L459" i="1"/>
  <c r="L492" i="1"/>
  <c r="L495" i="1"/>
  <c r="H21" i="1"/>
  <c r="L32" i="1"/>
  <c r="L42" i="1"/>
  <c r="L43" i="1"/>
  <c r="L44" i="1"/>
  <c r="L45" i="1"/>
  <c r="L46" i="1"/>
  <c r="L47" i="1"/>
  <c r="L48" i="1"/>
  <c r="L58" i="1"/>
  <c r="L59" i="1"/>
  <c r="L60" i="1"/>
  <c r="L61" i="1"/>
  <c r="L62" i="1"/>
  <c r="L63" i="1"/>
  <c r="L64" i="1"/>
  <c r="L74" i="1"/>
  <c r="L75" i="1"/>
  <c r="L76" i="1"/>
  <c r="L77" i="1"/>
  <c r="L78" i="1"/>
  <c r="L79" i="1"/>
  <c r="L80" i="1"/>
  <c r="L90" i="1"/>
  <c r="L91" i="1"/>
  <c r="L92" i="1"/>
  <c r="L93" i="1"/>
  <c r="L94" i="1"/>
  <c r="L95" i="1"/>
  <c r="L96" i="1"/>
  <c r="L106" i="1"/>
  <c r="L107" i="1"/>
  <c r="L108" i="1"/>
  <c r="L109" i="1"/>
  <c r="L110" i="1"/>
  <c r="L111" i="1"/>
  <c r="L112" i="1"/>
  <c r="L122" i="1"/>
  <c r="L123" i="1"/>
  <c r="L124" i="1"/>
  <c r="L125" i="1"/>
  <c r="L126" i="1"/>
  <c r="L127" i="1"/>
  <c r="L128" i="1"/>
  <c r="L138" i="1"/>
  <c r="L139" i="1"/>
  <c r="L140" i="1"/>
  <c r="L141" i="1"/>
  <c r="L142" i="1"/>
  <c r="L143" i="1"/>
  <c r="L144" i="1"/>
  <c r="L154" i="1"/>
  <c r="L155" i="1"/>
  <c r="L156" i="1"/>
  <c r="L157" i="1"/>
  <c r="L158" i="1"/>
  <c r="L159" i="1"/>
  <c r="L160" i="1"/>
  <c r="L170" i="1"/>
  <c r="L171" i="1"/>
  <c r="L172" i="1"/>
  <c r="L173" i="1"/>
  <c r="L174" i="1"/>
  <c r="L175" i="1"/>
  <c r="L176" i="1"/>
  <c r="L186" i="1"/>
  <c r="L187" i="1"/>
  <c r="L188" i="1"/>
  <c r="L189" i="1"/>
  <c r="L190" i="1"/>
  <c r="L191" i="1"/>
  <c r="L192" i="1"/>
  <c r="L202" i="1"/>
  <c r="L204" i="1"/>
  <c r="L205" i="1"/>
  <c r="L206" i="1"/>
  <c r="L207" i="1"/>
  <c r="L208" i="1"/>
  <c r="L218" i="1"/>
  <c r="L219" i="1"/>
  <c r="L220" i="1"/>
  <c r="L221" i="1"/>
  <c r="L222" i="1"/>
  <c r="L223" i="1"/>
  <c r="L224" i="1"/>
  <c r="L234" i="1"/>
  <c r="L236" i="1"/>
  <c r="L238" i="1"/>
  <c r="L239" i="1"/>
  <c r="L240" i="1"/>
  <c r="L250" i="1"/>
  <c r="L251" i="1"/>
  <c r="L252" i="1"/>
  <c r="L255" i="1"/>
  <c r="L256" i="1"/>
  <c r="L266" i="1"/>
  <c r="L267" i="1"/>
  <c r="L268" i="1"/>
  <c r="L272" i="1"/>
  <c r="L282" i="1"/>
  <c r="L283" i="1"/>
  <c r="L284" i="1"/>
  <c r="L285" i="1"/>
  <c r="L286" i="1"/>
  <c r="L287" i="1"/>
  <c r="L288" i="1"/>
  <c r="L298" i="1"/>
  <c r="L301" i="1"/>
  <c r="L304" i="1"/>
  <c r="L314" i="1"/>
  <c r="L315" i="1"/>
  <c r="L316" i="1"/>
  <c r="L317" i="1"/>
  <c r="L318" i="1"/>
  <c r="L319" i="1"/>
  <c r="L320" i="1"/>
  <c r="L330" i="1"/>
  <c r="L331" i="1"/>
  <c r="L332" i="1"/>
  <c r="L333" i="1"/>
  <c r="L335" i="1"/>
  <c r="L336" i="1"/>
  <c r="L349" i="1"/>
  <c r="L350" i="1"/>
  <c r="L351" i="1"/>
  <c r="L352" i="1"/>
  <c r="L362" i="1"/>
  <c r="L364" i="1"/>
  <c r="L365" i="1"/>
  <c r="L366" i="1"/>
  <c r="L367" i="1"/>
  <c r="L368" i="1"/>
  <c r="L378" i="1"/>
  <c r="L379" i="1"/>
  <c r="L383" i="1"/>
  <c r="L384" i="1"/>
  <c r="L394" i="1"/>
  <c r="L396" i="1"/>
  <c r="L398" i="1"/>
  <c r="L399" i="1"/>
  <c r="L400" i="1"/>
  <c r="L410" i="1"/>
  <c r="L412" i="1"/>
  <c r="L413" i="1"/>
  <c r="L416" i="1"/>
  <c r="L426" i="1"/>
  <c r="L427" i="1"/>
  <c r="L428" i="1"/>
  <c r="L432" i="1"/>
  <c r="L444" i="1"/>
  <c r="L445" i="1"/>
  <c r="L446" i="1"/>
  <c r="L447" i="1"/>
  <c r="L448" i="1"/>
  <c r="L461" i="1"/>
  <c r="L462" i="1"/>
  <c r="L463" i="1"/>
  <c r="L464" i="1"/>
  <c r="L474" i="1"/>
  <c r="L478" i="1"/>
  <c r="L479" i="1"/>
  <c r="L480" i="1"/>
  <c r="L490" i="1"/>
  <c r="L496" i="1"/>
  <c r="L31" i="1"/>
  <c r="H22" i="1"/>
  <c r="H23" i="1"/>
  <c r="L33" i="1" s="1"/>
  <c r="H24" i="1"/>
  <c r="L34" i="1" s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L49" i="1" s="1"/>
  <c r="H40" i="1"/>
  <c r="L50" i="1" s="1"/>
  <c r="H41" i="1"/>
  <c r="L51" i="1" s="1"/>
  <c r="H42" i="1"/>
  <c r="L52" i="1" s="1"/>
  <c r="H43" i="1"/>
  <c r="L53" i="1" s="1"/>
  <c r="H44" i="1"/>
  <c r="L54" i="1" s="1"/>
  <c r="H45" i="1"/>
  <c r="L55" i="1" s="1"/>
  <c r="H46" i="1"/>
  <c r="L56" i="1" s="1"/>
  <c r="H47" i="1"/>
  <c r="L57" i="1" s="1"/>
  <c r="H48" i="1"/>
  <c r="H49" i="1"/>
  <c r="H50" i="1"/>
  <c r="H51" i="1"/>
  <c r="H52" i="1"/>
  <c r="H53" i="1"/>
  <c r="H54" i="1"/>
  <c r="H55" i="1"/>
  <c r="L65" i="1" s="1"/>
  <c r="H56" i="1"/>
  <c r="L66" i="1" s="1"/>
  <c r="H57" i="1"/>
  <c r="L67" i="1" s="1"/>
  <c r="H58" i="1"/>
  <c r="L68" i="1" s="1"/>
  <c r="H59" i="1"/>
  <c r="L69" i="1" s="1"/>
  <c r="H60" i="1"/>
  <c r="L70" i="1" s="1"/>
  <c r="H61" i="1"/>
  <c r="L71" i="1" s="1"/>
  <c r="H62" i="1"/>
  <c r="L72" i="1" s="1"/>
  <c r="H63" i="1"/>
  <c r="L73" i="1" s="1"/>
  <c r="H64" i="1"/>
  <c r="H65" i="1"/>
  <c r="H66" i="1"/>
  <c r="H67" i="1"/>
  <c r="H68" i="1"/>
  <c r="H69" i="1"/>
  <c r="H70" i="1"/>
  <c r="H71" i="1"/>
  <c r="L81" i="1" s="1"/>
  <c r="H72" i="1"/>
  <c r="L82" i="1" s="1"/>
  <c r="H73" i="1"/>
  <c r="L83" i="1" s="1"/>
  <c r="H74" i="1"/>
  <c r="L84" i="1" s="1"/>
  <c r="H75" i="1"/>
  <c r="L85" i="1" s="1"/>
  <c r="H76" i="1"/>
  <c r="L86" i="1" s="1"/>
  <c r="H77" i="1"/>
  <c r="L87" i="1" s="1"/>
  <c r="H78" i="1"/>
  <c r="L88" i="1" s="1"/>
  <c r="H79" i="1"/>
  <c r="L89" i="1" s="1"/>
  <c r="H80" i="1"/>
  <c r="H81" i="1"/>
  <c r="H82" i="1"/>
  <c r="H83" i="1"/>
  <c r="H84" i="1"/>
  <c r="H85" i="1"/>
  <c r="H86" i="1"/>
  <c r="H87" i="1"/>
  <c r="L97" i="1" s="1"/>
  <c r="H88" i="1"/>
  <c r="L98" i="1" s="1"/>
  <c r="H89" i="1"/>
  <c r="L99" i="1" s="1"/>
  <c r="H90" i="1"/>
  <c r="L100" i="1" s="1"/>
  <c r="H91" i="1"/>
  <c r="L101" i="1" s="1"/>
  <c r="H92" i="1"/>
  <c r="L102" i="1" s="1"/>
  <c r="H93" i="1"/>
  <c r="L103" i="1" s="1"/>
  <c r="H94" i="1"/>
  <c r="L104" i="1" s="1"/>
  <c r="H95" i="1"/>
  <c r="L105" i="1" s="1"/>
  <c r="H96" i="1"/>
  <c r="H97" i="1"/>
  <c r="H98" i="1"/>
  <c r="H99" i="1"/>
  <c r="H100" i="1"/>
  <c r="H101" i="1"/>
  <c r="H102" i="1"/>
  <c r="H103" i="1"/>
  <c r="L113" i="1" s="1"/>
  <c r="H104" i="1"/>
  <c r="L114" i="1" s="1"/>
  <c r="H105" i="1"/>
  <c r="L115" i="1" s="1"/>
  <c r="H106" i="1"/>
  <c r="L116" i="1" s="1"/>
  <c r="H107" i="1"/>
  <c r="L117" i="1" s="1"/>
  <c r="H108" i="1"/>
  <c r="L118" i="1" s="1"/>
  <c r="H109" i="1"/>
  <c r="L119" i="1" s="1"/>
  <c r="H110" i="1"/>
  <c r="L120" i="1" s="1"/>
  <c r="H111" i="1"/>
  <c r="L121" i="1" s="1"/>
  <c r="H112" i="1"/>
  <c r="H113" i="1"/>
  <c r="H114" i="1"/>
  <c r="H115" i="1"/>
  <c r="H116" i="1"/>
  <c r="H117" i="1"/>
  <c r="H118" i="1"/>
  <c r="H119" i="1"/>
  <c r="L129" i="1" s="1"/>
  <c r="H120" i="1"/>
  <c r="L130" i="1" s="1"/>
  <c r="H121" i="1"/>
  <c r="L131" i="1" s="1"/>
  <c r="H122" i="1"/>
  <c r="L132" i="1" s="1"/>
  <c r="H123" i="1"/>
  <c r="L133" i="1" s="1"/>
  <c r="H124" i="1"/>
  <c r="L134" i="1" s="1"/>
  <c r="H125" i="1"/>
  <c r="L135" i="1" s="1"/>
  <c r="H126" i="1"/>
  <c r="L136" i="1" s="1"/>
  <c r="H127" i="1"/>
  <c r="L137" i="1" s="1"/>
  <c r="H128" i="1"/>
  <c r="H129" i="1"/>
  <c r="H130" i="1"/>
  <c r="H131" i="1"/>
  <c r="H132" i="1"/>
  <c r="H133" i="1"/>
  <c r="H134" i="1"/>
  <c r="H135" i="1"/>
  <c r="L145" i="1" s="1"/>
  <c r="H136" i="1"/>
  <c r="L146" i="1" s="1"/>
  <c r="H137" i="1"/>
  <c r="L147" i="1" s="1"/>
  <c r="H138" i="1"/>
  <c r="L148" i="1" s="1"/>
  <c r="H139" i="1"/>
  <c r="L149" i="1" s="1"/>
  <c r="H140" i="1"/>
  <c r="L150" i="1" s="1"/>
  <c r="H141" i="1"/>
  <c r="L151" i="1" s="1"/>
  <c r="H142" i="1"/>
  <c r="L152" i="1" s="1"/>
  <c r="H143" i="1"/>
  <c r="L153" i="1" s="1"/>
  <c r="H144" i="1"/>
  <c r="H145" i="1"/>
  <c r="H146" i="1"/>
  <c r="H147" i="1"/>
  <c r="H148" i="1"/>
  <c r="H149" i="1"/>
  <c r="H150" i="1"/>
  <c r="H151" i="1"/>
  <c r="L161" i="1" s="1"/>
  <c r="H152" i="1"/>
  <c r="L162" i="1" s="1"/>
  <c r="H153" i="1"/>
  <c r="L163" i="1" s="1"/>
  <c r="H154" i="1"/>
  <c r="L164" i="1" s="1"/>
  <c r="H155" i="1"/>
  <c r="L165" i="1" s="1"/>
  <c r="H156" i="1"/>
  <c r="L166" i="1" s="1"/>
  <c r="H157" i="1"/>
  <c r="L167" i="1" s="1"/>
  <c r="H158" i="1"/>
  <c r="L168" i="1" s="1"/>
  <c r="H159" i="1"/>
  <c r="L169" i="1" s="1"/>
  <c r="H160" i="1"/>
  <c r="H161" i="1"/>
  <c r="H162" i="1"/>
  <c r="H163" i="1"/>
  <c r="H164" i="1"/>
  <c r="H165" i="1"/>
  <c r="H166" i="1"/>
  <c r="H167" i="1"/>
  <c r="L177" i="1" s="1"/>
  <c r="H168" i="1"/>
  <c r="L178" i="1" s="1"/>
  <c r="H169" i="1"/>
  <c r="L179" i="1" s="1"/>
  <c r="H170" i="1"/>
  <c r="L180" i="1" s="1"/>
  <c r="H171" i="1"/>
  <c r="L181" i="1" s="1"/>
  <c r="H172" i="1"/>
  <c r="L182" i="1" s="1"/>
  <c r="H173" i="1"/>
  <c r="L183" i="1" s="1"/>
  <c r="H174" i="1"/>
  <c r="L184" i="1" s="1"/>
  <c r="H175" i="1"/>
  <c r="L185" i="1" s="1"/>
  <c r="H176" i="1"/>
  <c r="H177" i="1"/>
  <c r="H178" i="1"/>
  <c r="H179" i="1"/>
  <c r="H180" i="1"/>
  <c r="H181" i="1"/>
  <c r="H182" i="1"/>
  <c r="H183" i="1"/>
  <c r="L193" i="1" s="1"/>
  <c r="H184" i="1"/>
  <c r="L194" i="1" s="1"/>
  <c r="H185" i="1"/>
  <c r="L195" i="1" s="1"/>
  <c r="H186" i="1"/>
  <c r="L196" i="1" s="1"/>
  <c r="H187" i="1"/>
  <c r="L197" i="1" s="1"/>
  <c r="H188" i="1"/>
  <c r="L198" i="1" s="1"/>
  <c r="H189" i="1"/>
  <c r="L199" i="1" s="1"/>
  <c r="H190" i="1"/>
  <c r="L200" i="1" s="1"/>
  <c r="H191" i="1"/>
  <c r="L201" i="1" s="1"/>
  <c r="H192" i="1"/>
  <c r="H193" i="1"/>
  <c r="H194" i="1"/>
  <c r="H195" i="1"/>
  <c r="H196" i="1"/>
  <c r="H197" i="1"/>
  <c r="H198" i="1"/>
  <c r="H199" i="1"/>
  <c r="L209" i="1" s="1"/>
  <c r="H200" i="1"/>
  <c r="L210" i="1" s="1"/>
  <c r="H201" i="1"/>
  <c r="L211" i="1" s="1"/>
  <c r="H202" i="1"/>
  <c r="L212" i="1" s="1"/>
  <c r="H203" i="1"/>
  <c r="L213" i="1" s="1"/>
  <c r="H204" i="1"/>
  <c r="L214" i="1" s="1"/>
  <c r="H205" i="1"/>
  <c r="L215" i="1" s="1"/>
  <c r="H206" i="1"/>
  <c r="L216" i="1" s="1"/>
  <c r="H207" i="1"/>
  <c r="L217" i="1" s="1"/>
  <c r="H208" i="1"/>
  <c r="H209" i="1"/>
  <c r="H210" i="1"/>
  <c r="H211" i="1"/>
  <c r="H212" i="1"/>
  <c r="H213" i="1"/>
  <c r="H214" i="1"/>
  <c r="H215" i="1"/>
  <c r="L225" i="1" s="1"/>
  <c r="H216" i="1"/>
  <c r="L226" i="1" s="1"/>
  <c r="H217" i="1"/>
  <c r="L227" i="1" s="1"/>
  <c r="H218" i="1"/>
  <c r="L228" i="1" s="1"/>
  <c r="H219" i="1"/>
  <c r="L229" i="1" s="1"/>
  <c r="H220" i="1"/>
  <c r="L230" i="1" s="1"/>
  <c r="H221" i="1"/>
  <c r="L231" i="1" s="1"/>
  <c r="H222" i="1"/>
  <c r="L232" i="1" s="1"/>
  <c r="H223" i="1"/>
  <c r="L233" i="1" s="1"/>
  <c r="H224" i="1"/>
  <c r="H225" i="1"/>
  <c r="H226" i="1"/>
  <c r="H227" i="1"/>
  <c r="H228" i="1"/>
  <c r="H229" i="1"/>
  <c r="H230" i="1"/>
  <c r="H231" i="1"/>
  <c r="L241" i="1" s="1"/>
  <c r="H232" i="1"/>
  <c r="L242" i="1" s="1"/>
  <c r="H233" i="1"/>
  <c r="L243" i="1" s="1"/>
  <c r="H234" i="1"/>
  <c r="L244" i="1" s="1"/>
  <c r="H235" i="1"/>
  <c r="L245" i="1" s="1"/>
  <c r="H236" i="1"/>
  <c r="L246" i="1" s="1"/>
  <c r="H237" i="1"/>
  <c r="L247" i="1" s="1"/>
  <c r="H238" i="1"/>
  <c r="L248" i="1" s="1"/>
  <c r="H239" i="1"/>
  <c r="L249" i="1" s="1"/>
  <c r="H240" i="1"/>
  <c r="H241" i="1"/>
  <c r="H242" i="1"/>
  <c r="H243" i="1"/>
  <c r="H244" i="1"/>
  <c r="H245" i="1"/>
  <c r="H246" i="1"/>
  <c r="H247" i="1"/>
  <c r="L257" i="1" s="1"/>
  <c r="H248" i="1"/>
  <c r="L258" i="1" s="1"/>
  <c r="H249" i="1"/>
  <c r="L259" i="1" s="1"/>
  <c r="H250" i="1"/>
  <c r="L260" i="1" s="1"/>
  <c r="H251" i="1"/>
  <c r="L261" i="1" s="1"/>
  <c r="H252" i="1"/>
  <c r="L262" i="1" s="1"/>
  <c r="H253" i="1"/>
  <c r="L263" i="1" s="1"/>
  <c r="H254" i="1"/>
  <c r="L264" i="1" s="1"/>
  <c r="H255" i="1"/>
  <c r="L265" i="1" s="1"/>
  <c r="H256" i="1"/>
  <c r="H257" i="1"/>
  <c r="H258" i="1"/>
  <c r="H259" i="1"/>
  <c r="H260" i="1"/>
  <c r="H261" i="1"/>
  <c r="H262" i="1"/>
  <c r="H263" i="1"/>
  <c r="L273" i="1" s="1"/>
  <c r="H264" i="1"/>
  <c r="L274" i="1" s="1"/>
  <c r="H265" i="1"/>
  <c r="L275" i="1" s="1"/>
  <c r="H266" i="1"/>
  <c r="L276" i="1" s="1"/>
  <c r="H267" i="1"/>
  <c r="L277" i="1" s="1"/>
  <c r="H268" i="1"/>
  <c r="L278" i="1" s="1"/>
  <c r="H269" i="1"/>
  <c r="L279" i="1" s="1"/>
  <c r="H270" i="1"/>
  <c r="L280" i="1" s="1"/>
  <c r="H271" i="1"/>
  <c r="L281" i="1" s="1"/>
  <c r="H272" i="1"/>
  <c r="H273" i="1"/>
  <c r="H274" i="1"/>
  <c r="H275" i="1"/>
  <c r="H276" i="1"/>
  <c r="H277" i="1"/>
  <c r="H278" i="1"/>
  <c r="H279" i="1"/>
  <c r="L289" i="1" s="1"/>
  <c r="H280" i="1"/>
  <c r="L290" i="1" s="1"/>
  <c r="H281" i="1"/>
  <c r="L291" i="1" s="1"/>
  <c r="H282" i="1"/>
  <c r="L292" i="1" s="1"/>
  <c r="H283" i="1"/>
  <c r="L293" i="1" s="1"/>
  <c r="H284" i="1"/>
  <c r="L294" i="1" s="1"/>
  <c r="H285" i="1"/>
  <c r="L295" i="1" s="1"/>
  <c r="H286" i="1"/>
  <c r="L296" i="1" s="1"/>
  <c r="H287" i="1"/>
  <c r="L297" i="1" s="1"/>
  <c r="H288" i="1"/>
  <c r="H289" i="1"/>
  <c r="H290" i="1"/>
  <c r="H291" i="1"/>
  <c r="H292" i="1"/>
  <c r="H293" i="1"/>
  <c r="H294" i="1"/>
  <c r="H295" i="1"/>
  <c r="L305" i="1" s="1"/>
  <c r="H296" i="1"/>
  <c r="L306" i="1" s="1"/>
  <c r="H297" i="1"/>
  <c r="L307" i="1" s="1"/>
  <c r="H298" i="1"/>
  <c r="L308" i="1" s="1"/>
  <c r="H299" i="1"/>
  <c r="L309" i="1" s="1"/>
  <c r="H300" i="1"/>
  <c r="L310" i="1" s="1"/>
  <c r="H301" i="1"/>
  <c r="L311" i="1" s="1"/>
  <c r="H302" i="1"/>
  <c r="L312" i="1" s="1"/>
  <c r="H303" i="1"/>
  <c r="L313" i="1" s="1"/>
  <c r="H304" i="1"/>
  <c r="H305" i="1"/>
  <c r="H306" i="1"/>
  <c r="H307" i="1"/>
  <c r="H308" i="1"/>
  <c r="H309" i="1"/>
  <c r="H310" i="1"/>
  <c r="H311" i="1"/>
  <c r="L321" i="1" s="1"/>
  <c r="H312" i="1"/>
  <c r="L322" i="1" s="1"/>
  <c r="H313" i="1"/>
  <c r="L323" i="1" s="1"/>
  <c r="H314" i="1"/>
  <c r="L324" i="1" s="1"/>
  <c r="H315" i="1"/>
  <c r="L325" i="1" s="1"/>
  <c r="H316" i="1"/>
  <c r="L326" i="1" s="1"/>
  <c r="H317" i="1"/>
  <c r="L327" i="1" s="1"/>
  <c r="H318" i="1"/>
  <c r="L328" i="1" s="1"/>
  <c r="H319" i="1"/>
  <c r="L329" i="1" s="1"/>
  <c r="H320" i="1"/>
  <c r="H321" i="1"/>
  <c r="H322" i="1"/>
  <c r="H323" i="1"/>
  <c r="H324" i="1"/>
  <c r="H325" i="1"/>
  <c r="H326" i="1"/>
  <c r="H327" i="1"/>
  <c r="L337" i="1" s="1"/>
  <c r="H328" i="1"/>
  <c r="L338" i="1" s="1"/>
  <c r="H329" i="1"/>
  <c r="L339" i="1" s="1"/>
  <c r="H330" i="1"/>
  <c r="L340" i="1" s="1"/>
  <c r="H331" i="1"/>
  <c r="L341" i="1" s="1"/>
  <c r="H332" i="1"/>
  <c r="L342" i="1" s="1"/>
  <c r="H333" i="1"/>
  <c r="L343" i="1" s="1"/>
  <c r="H334" i="1"/>
  <c r="L344" i="1" s="1"/>
  <c r="H335" i="1"/>
  <c r="L345" i="1" s="1"/>
  <c r="H336" i="1"/>
  <c r="H337" i="1"/>
  <c r="H338" i="1"/>
  <c r="H339" i="1"/>
  <c r="H340" i="1"/>
  <c r="H341" i="1"/>
  <c r="H342" i="1"/>
  <c r="H343" i="1"/>
  <c r="L353" i="1" s="1"/>
  <c r="H344" i="1"/>
  <c r="L354" i="1" s="1"/>
  <c r="H345" i="1"/>
  <c r="L355" i="1" s="1"/>
  <c r="H346" i="1"/>
  <c r="L356" i="1" s="1"/>
  <c r="H347" i="1"/>
  <c r="L357" i="1" s="1"/>
  <c r="H348" i="1"/>
  <c r="L358" i="1" s="1"/>
  <c r="H349" i="1"/>
  <c r="L359" i="1" s="1"/>
  <c r="H350" i="1"/>
  <c r="L360" i="1" s="1"/>
  <c r="H351" i="1"/>
  <c r="L361" i="1" s="1"/>
  <c r="H352" i="1"/>
  <c r="H353" i="1"/>
  <c r="H354" i="1"/>
  <c r="H355" i="1"/>
  <c r="H356" i="1"/>
  <c r="H357" i="1"/>
  <c r="H358" i="1"/>
  <c r="H359" i="1"/>
  <c r="L369" i="1" s="1"/>
  <c r="H360" i="1"/>
  <c r="L370" i="1" s="1"/>
  <c r="H361" i="1"/>
  <c r="L371" i="1" s="1"/>
  <c r="H362" i="1"/>
  <c r="L372" i="1" s="1"/>
  <c r="H363" i="1"/>
  <c r="L373" i="1" s="1"/>
  <c r="H364" i="1"/>
  <c r="L374" i="1" s="1"/>
  <c r="H365" i="1"/>
  <c r="L375" i="1" s="1"/>
  <c r="H366" i="1"/>
  <c r="L376" i="1" s="1"/>
  <c r="H367" i="1"/>
  <c r="L377" i="1" s="1"/>
  <c r="H368" i="1"/>
  <c r="H369" i="1"/>
  <c r="H370" i="1"/>
  <c r="H371" i="1"/>
  <c r="H372" i="1"/>
  <c r="H373" i="1"/>
  <c r="H374" i="1"/>
  <c r="H375" i="1"/>
  <c r="L385" i="1" s="1"/>
  <c r="H376" i="1"/>
  <c r="L386" i="1" s="1"/>
  <c r="H377" i="1"/>
  <c r="L387" i="1" s="1"/>
  <c r="H378" i="1"/>
  <c r="L388" i="1" s="1"/>
  <c r="H379" i="1"/>
  <c r="L389" i="1" s="1"/>
  <c r="H380" i="1"/>
  <c r="L390" i="1" s="1"/>
  <c r="H381" i="1"/>
  <c r="L391" i="1" s="1"/>
  <c r="H382" i="1"/>
  <c r="L392" i="1" s="1"/>
  <c r="H383" i="1"/>
  <c r="L393" i="1" s="1"/>
  <c r="H384" i="1"/>
  <c r="H385" i="1"/>
  <c r="H386" i="1"/>
  <c r="H387" i="1"/>
  <c r="H388" i="1"/>
  <c r="H389" i="1"/>
  <c r="H390" i="1"/>
  <c r="H391" i="1"/>
  <c r="L401" i="1" s="1"/>
  <c r="H392" i="1"/>
  <c r="L402" i="1" s="1"/>
  <c r="H393" i="1"/>
  <c r="L403" i="1" s="1"/>
  <c r="H394" i="1"/>
  <c r="L404" i="1" s="1"/>
  <c r="H395" i="1"/>
  <c r="L405" i="1" s="1"/>
  <c r="H396" i="1"/>
  <c r="L406" i="1" s="1"/>
  <c r="H397" i="1"/>
  <c r="L407" i="1" s="1"/>
  <c r="H398" i="1"/>
  <c r="L408" i="1" s="1"/>
  <c r="H399" i="1"/>
  <c r="L409" i="1" s="1"/>
  <c r="H400" i="1"/>
  <c r="H401" i="1"/>
  <c r="H402" i="1"/>
  <c r="H403" i="1"/>
  <c r="H404" i="1"/>
  <c r="H405" i="1"/>
  <c r="H406" i="1"/>
  <c r="H407" i="1"/>
  <c r="L417" i="1" s="1"/>
  <c r="H408" i="1"/>
  <c r="L418" i="1" s="1"/>
  <c r="H409" i="1"/>
  <c r="L419" i="1" s="1"/>
  <c r="H410" i="1"/>
  <c r="L420" i="1" s="1"/>
  <c r="H411" i="1"/>
  <c r="L421" i="1" s="1"/>
  <c r="H412" i="1"/>
  <c r="L422" i="1" s="1"/>
  <c r="H413" i="1"/>
  <c r="L423" i="1" s="1"/>
  <c r="H414" i="1"/>
  <c r="L424" i="1" s="1"/>
  <c r="H415" i="1"/>
  <c r="L425" i="1" s="1"/>
  <c r="H416" i="1"/>
  <c r="H417" i="1"/>
  <c r="H418" i="1"/>
  <c r="H419" i="1"/>
  <c r="H420" i="1"/>
  <c r="H421" i="1"/>
  <c r="H422" i="1"/>
  <c r="H423" i="1"/>
  <c r="L433" i="1" s="1"/>
  <c r="H424" i="1"/>
  <c r="L434" i="1" s="1"/>
  <c r="H425" i="1"/>
  <c r="L435" i="1" s="1"/>
  <c r="H426" i="1"/>
  <c r="L436" i="1" s="1"/>
  <c r="H427" i="1"/>
  <c r="L437" i="1" s="1"/>
  <c r="H428" i="1"/>
  <c r="L438" i="1" s="1"/>
  <c r="H429" i="1"/>
  <c r="L439" i="1" s="1"/>
  <c r="H430" i="1"/>
  <c r="L440" i="1" s="1"/>
  <c r="H431" i="1"/>
  <c r="L441" i="1" s="1"/>
  <c r="H432" i="1"/>
  <c r="H433" i="1"/>
  <c r="H434" i="1"/>
  <c r="H435" i="1"/>
  <c r="H436" i="1"/>
  <c r="H437" i="1"/>
  <c r="H438" i="1"/>
  <c r="H439" i="1"/>
  <c r="L449" i="1" s="1"/>
  <c r="H440" i="1"/>
  <c r="L450" i="1" s="1"/>
  <c r="H441" i="1"/>
  <c r="L451" i="1" s="1"/>
  <c r="H442" i="1"/>
  <c r="L452" i="1" s="1"/>
  <c r="H443" i="1"/>
  <c r="L453" i="1" s="1"/>
  <c r="H444" i="1"/>
  <c r="L454" i="1" s="1"/>
  <c r="H445" i="1"/>
  <c r="L455" i="1" s="1"/>
  <c r="H446" i="1"/>
  <c r="L456" i="1" s="1"/>
  <c r="H447" i="1"/>
  <c r="L457" i="1" s="1"/>
  <c r="H448" i="1"/>
  <c r="H449" i="1"/>
  <c r="H450" i="1"/>
  <c r="H451" i="1"/>
  <c r="H452" i="1"/>
  <c r="H453" i="1"/>
  <c r="H454" i="1"/>
  <c r="H455" i="1"/>
  <c r="L465" i="1" s="1"/>
  <c r="H456" i="1"/>
  <c r="L466" i="1" s="1"/>
  <c r="H457" i="1"/>
  <c r="L467" i="1" s="1"/>
  <c r="H458" i="1"/>
  <c r="L468" i="1" s="1"/>
  <c r="H459" i="1"/>
  <c r="L469" i="1" s="1"/>
  <c r="H460" i="1"/>
  <c r="L470" i="1" s="1"/>
  <c r="H461" i="1"/>
  <c r="L471" i="1" s="1"/>
  <c r="H462" i="1"/>
  <c r="L472" i="1" s="1"/>
  <c r="H463" i="1"/>
  <c r="L473" i="1" s="1"/>
  <c r="H464" i="1"/>
  <c r="H465" i="1"/>
  <c r="H466" i="1"/>
  <c r="H467" i="1"/>
  <c r="H468" i="1"/>
  <c r="H469" i="1"/>
  <c r="H470" i="1"/>
  <c r="H471" i="1"/>
  <c r="L481" i="1" s="1"/>
  <c r="H472" i="1"/>
  <c r="L482" i="1" s="1"/>
  <c r="H473" i="1"/>
  <c r="L483" i="1" s="1"/>
  <c r="H474" i="1"/>
  <c r="L484" i="1" s="1"/>
  <c r="H475" i="1"/>
  <c r="L485" i="1" s="1"/>
  <c r="H476" i="1"/>
  <c r="L486" i="1" s="1"/>
  <c r="H477" i="1"/>
  <c r="L487" i="1" s="1"/>
  <c r="H478" i="1"/>
  <c r="L488" i="1" s="1"/>
  <c r="H479" i="1"/>
  <c r="L489" i="1" s="1"/>
  <c r="H480" i="1"/>
  <c r="H481" i="1"/>
  <c r="H482" i="1"/>
  <c r="H483" i="1"/>
  <c r="H484" i="1"/>
  <c r="H485" i="1"/>
  <c r="H486" i="1"/>
  <c r="H487" i="1"/>
  <c r="L497" i="1" s="1"/>
  <c r="H488" i="1"/>
  <c r="L498" i="1" s="1"/>
  <c r="H489" i="1"/>
  <c r="L499" i="1" s="1"/>
  <c r="H490" i="1"/>
  <c r="L500" i="1" s="1"/>
  <c r="H491" i="1"/>
  <c r="L501" i="1" s="1"/>
  <c r="H492" i="1"/>
  <c r="L502" i="1" s="1"/>
  <c r="H493" i="1"/>
  <c r="L503" i="1" s="1"/>
  <c r="H494" i="1"/>
  <c r="H495" i="1"/>
  <c r="H496" i="1"/>
  <c r="H497" i="1"/>
  <c r="H498" i="1"/>
  <c r="H499" i="1"/>
  <c r="H500" i="1"/>
  <c r="H501" i="1"/>
  <c r="H502" i="1"/>
  <c r="H503" i="1"/>
  <c r="L39" i="1" l="1"/>
  <c r="L41" i="1"/>
  <c r="L37" i="1"/>
  <c r="L36" i="1"/>
  <c r="L40" i="1"/>
  <c r="L38" i="1"/>
  <c r="L35" i="1"/>
  <c r="K21" i="1"/>
  <c r="K502" i="1" l="1"/>
  <c r="K496" i="1"/>
  <c r="K494" i="1"/>
  <c r="K488" i="1"/>
  <c r="K486" i="1"/>
  <c r="K480" i="1"/>
  <c r="K478" i="1"/>
  <c r="K472" i="1"/>
  <c r="K470" i="1"/>
  <c r="K464" i="1"/>
  <c r="K462" i="1"/>
  <c r="K456" i="1"/>
  <c r="K454" i="1"/>
  <c r="K448" i="1"/>
  <c r="K446" i="1"/>
  <c r="K440" i="1"/>
  <c r="K438" i="1"/>
  <c r="K432" i="1"/>
  <c r="K430" i="1"/>
  <c r="K424" i="1"/>
  <c r="K422" i="1"/>
  <c r="K416" i="1"/>
  <c r="K414" i="1"/>
  <c r="K408" i="1"/>
  <c r="K406" i="1"/>
  <c r="K400" i="1"/>
  <c r="K398" i="1"/>
  <c r="K392" i="1"/>
  <c r="K390" i="1"/>
  <c r="K384" i="1"/>
  <c r="K382" i="1"/>
  <c r="K376" i="1"/>
  <c r="K374" i="1"/>
  <c r="K368" i="1"/>
  <c r="K366" i="1"/>
  <c r="K360" i="1"/>
  <c r="K358" i="1"/>
  <c r="K352" i="1"/>
  <c r="K350" i="1"/>
  <c r="K344" i="1"/>
  <c r="K342" i="1"/>
  <c r="K336" i="1"/>
  <c r="K334" i="1"/>
  <c r="K328" i="1"/>
  <c r="K326" i="1"/>
  <c r="K320" i="1"/>
  <c r="K318" i="1"/>
  <c r="K312" i="1"/>
  <c r="K310" i="1"/>
  <c r="K304" i="1"/>
  <c r="K302" i="1"/>
  <c r="K296" i="1"/>
  <c r="K294" i="1"/>
  <c r="K288" i="1"/>
  <c r="K286" i="1"/>
  <c r="K280" i="1"/>
  <c r="K278" i="1"/>
  <c r="K272" i="1"/>
  <c r="K270" i="1"/>
  <c r="K264" i="1"/>
  <c r="K262" i="1"/>
  <c r="K256" i="1"/>
  <c r="K254" i="1"/>
  <c r="K248" i="1"/>
  <c r="K246" i="1"/>
  <c r="K240" i="1"/>
  <c r="K238" i="1"/>
  <c r="K232" i="1"/>
  <c r="K230" i="1"/>
  <c r="K224" i="1"/>
  <c r="K222" i="1"/>
  <c r="K216" i="1"/>
  <c r="K214" i="1"/>
  <c r="K208" i="1"/>
  <c r="K206" i="1"/>
  <c r="K200" i="1"/>
  <c r="K198" i="1"/>
  <c r="K192" i="1"/>
  <c r="K190" i="1"/>
  <c r="K184" i="1"/>
  <c r="K182" i="1"/>
  <c r="K176" i="1"/>
  <c r="K174" i="1"/>
  <c r="K168" i="1"/>
  <c r="K166" i="1"/>
  <c r="K160" i="1"/>
  <c r="K158" i="1"/>
  <c r="K152" i="1"/>
  <c r="K150" i="1"/>
  <c r="K144" i="1"/>
  <c r="K142" i="1"/>
  <c r="K136" i="1"/>
  <c r="K134" i="1"/>
  <c r="K128" i="1"/>
  <c r="K126" i="1"/>
  <c r="K120" i="1"/>
  <c r="K118" i="1"/>
  <c r="K112" i="1"/>
  <c r="K110" i="1"/>
  <c r="K104" i="1"/>
  <c r="K102" i="1"/>
  <c r="K96" i="1"/>
  <c r="K94" i="1"/>
  <c r="K88" i="1"/>
  <c r="K86" i="1"/>
  <c r="K80" i="1"/>
  <c r="K78" i="1"/>
  <c r="K72" i="1"/>
  <c r="K70" i="1"/>
  <c r="K64" i="1"/>
  <c r="J62" i="1"/>
  <c r="K56" i="1"/>
  <c r="K54" i="1"/>
  <c r="K48" i="1"/>
  <c r="K46" i="1"/>
  <c r="K40" i="1"/>
  <c r="K38" i="1"/>
  <c r="K32" i="1"/>
  <c r="J30" i="1"/>
  <c r="K24" i="1"/>
  <c r="K22" i="1"/>
  <c r="K503" i="1"/>
  <c r="J503" i="1"/>
  <c r="K501" i="1"/>
  <c r="J501" i="1"/>
  <c r="K500" i="1"/>
  <c r="J500" i="1"/>
  <c r="K499" i="1"/>
  <c r="J499" i="1"/>
  <c r="K498" i="1"/>
  <c r="J498" i="1"/>
  <c r="K497" i="1"/>
  <c r="J497" i="1"/>
  <c r="K495" i="1"/>
  <c r="J495" i="1"/>
  <c r="K493" i="1"/>
  <c r="J493" i="1"/>
  <c r="K492" i="1"/>
  <c r="J492" i="1"/>
  <c r="K491" i="1"/>
  <c r="J491" i="1"/>
  <c r="K490" i="1"/>
  <c r="J490" i="1"/>
  <c r="K489" i="1"/>
  <c r="J489" i="1"/>
  <c r="K487" i="1"/>
  <c r="J487" i="1"/>
  <c r="J486" i="1"/>
  <c r="K485" i="1"/>
  <c r="J485" i="1"/>
  <c r="K484" i="1"/>
  <c r="J484" i="1"/>
  <c r="K483" i="1"/>
  <c r="J483" i="1"/>
  <c r="K482" i="1"/>
  <c r="J482" i="1"/>
  <c r="K481" i="1"/>
  <c r="J481" i="1"/>
  <c r="K479" i="1"/>
  <c r="J479" i="1"/>
  <c r="K477" i="1"/>
  <c r="J477" i="1"/>
  <c r="K476" i="1"/>
  <c r="J476" i="1"/>
  <c r="K475" i="1"/>
  <c r="J475" i="1"/>
  <c r="K474" i="1"/>
  <c r="J474" i="1"/>
  <c r="K473" i="1"/>
  <c r="J473" i="1"/>
  <c r="K471" i="1"/>
  <c r="J471" i="1"/>
  <c r="K469" i="1"/>
  <c r="J469" i="1"/>
  <c r="K468" i="1"/>
  <c r="J468" i="1"/>
  <c r="K467" i="1"/>
  <c r="J467" i="1"/>
  <c r="K466" i="1"/>
  <c r="J466" i="1"/>
  <c r="K465" i="1"/>
  <c r="J465" i="1"/>
  <c r="K463" i="1"/>
  <c r="J463" i="1"/>
  <c r="K461" i="1"/>
  <c r="J461" i="1"/>
  <c r="K460" i="1"/>
  <c r="J460" i="1"/>
  <c r="K459" i="1"/>
  <c r="J459" i="1"/>
  <c r="K458" i="1"/>
  <c r="J458" i="1"/>
  <c r="K457" i="1"/>
  <c r="J457" i="1"/>
  <c r="K455" i="1"/>
  <c r="J455" i="1"/>
  <c r="J454" i="1"/>
  <c r="K453" i="1"/>
  <c r="J453" i="1"/>
  <c r="K452" i="1"/>
  <c r="J452" i="1"/>
  <c r="K451" i="1"/>
  <c r="J451" i="1"/>
  <c r="K450" i="1"/>
  <c r="J450" i="1"/>
  <c r="K449" i="1"/>
  <c r="J449" i="1"/>
  <c r="K447" i="1"/>
  <c r="J447" i="1"/>
  <c r="K445" i="1"/>
  <c r="J445" i="1"/>
  <c r="K444" i="1"/>
  <c r="J444" i="1"/>
  <c r="K443" i="1"/>
  <c r="J443" i="1"/>
  <c r="K442" i="1"/>
  <c r="J442" i="1"/>
  <c r="K441" i="1"/>
  <c r="J441" i="1"/>
  <c r="K439" i="1"/>
  <c r="J439" i="1"/>
  <c r="K437" i="1"/>
  <c r="J437" i="1"/>
  <c r="K436" i="1"/>
  <c r="J436" i="1"/>
  <c r="K435" i="1"/>
  <c r="J435" i="1"/>
  <c r="K434" i="1"/>
  <c r="J434" i="1"/>
  <c r="K433" i="1"/>
  <c r="J433" i="1"/>
  <c r="K431" i="1"/>
  <c r="J431" i="1"/>
  <c r="K429" i="1"/>
  <c r="J429" i="1"/>
  <c r="K428" i="1"/>
  <c r="J428" i="1"/>
  <c r="K427" i="1"/>
  <c r="J427" i="1"/>
  <c r="K426" i="1"/>
  <c r="J426" i="1"/>
  <c r="K425" i="1"/>
  <c r="J425" i="1"/>
  <c r="K423" i="1"/>
  <c r="J423" i="1"/>
  <c r="J422" i="1"/>
  <c r="K421" i="1"/>
  <c r="J421" i="1"/>
  <c r="K420" i="1"/>
  <c r="J420" i="1"/>
  <c r="K419" i="1"/>
  <c r="J419" i="1"/>
  <c r="K418" i="1"/>
  <c r="J418" i="1"/>
  <c r="K417" i="1"/>
  <c r="J417" i="1"/>
  <c r="K415" i="1"/>
  <c r="J415" i="1"/>
  <c r="K413" i="1"/>
  <c r="J413" i="1"/>
  <c r="K412" i="1"/>
  <c r="J412" i="1"/>
  <c r="K411" i="1"/>
  <c r="J411" i="1"/>
  <c r="K410" i="1"/>
  <c r="J410" i="1"/>
  <c r="K409" i="1"/>
  <c r="J409" i="1"/>
  <c r="K407" i="1"/>
  <c r="J407" i="1"/>
  <c r="K405" i="1"/>
  <c r="J405" i="1"/>
  <c r="K404" i="1"/>
  <c r="J404" i="1"/>
  <c r="K403" i="1"/>
  <c r="J403" i="1"/>
  <c r="K402" i="1"/>
  <c r="J402" i="1"/>
  <c r="K401" i="1"/>
  <c r="J401" i="1"/>
  <c r="K399" i="1"/>
  <c r="J399" i="1"/>
  <c r="K397" i="1"/>
  <c r="J397" i="1"/>
  <c r="K396" i="1"/>
  <c r="J396" i="1"/>
  <c r="K395" i="1"/>
  <c r="J395" i="1"/>
  <c r="K394" i="1"/>
  <c r="J394" i="1"/>
  <c r="K393" i="1"/>
  <c r="J393" i="1"/>
  <c r="K391" i="1"/>
  <c r="J391" i="1"/>
  <c r="J390" i="1"/>
  <c r="K389" i="1"/>
  <c r="J389" i="1"/>
  <c r="K388" i="1"/>
  <c r="J388" i="1"/>
  <c r="K387" i="1"/>
  <c r="J387" i="1"/>
  <c r="K386" i="1"/>
  <c r="J386" i="1"/>
  <c r="K385" i="1"/>
  <c r="J385" i="1"/>
  <c r="K383" i="1"/>
  <c r="J383" i="1"/>
  <c r="K381" i="1"/>
  <c r="J381" i="1"/>
  <c r="K380" i="1"/>
  <c r="J380" i="1"/>
  <c r="K379" i="1"/>
  <c r="J379" i="1"/>
  <c r="K378" i="1"/>
  <c r="J378" i="1"/>
  <c r="K377" i="1"/>
  <c r="J377" i="1"/>
  <c r="K375" i="1"/>
  <c r="J375" i="1"/>
  <c r="K373" i="1"/>
  <c r="J373" i="1"/>
  <c r="K372" i="1"/>
  <c r="J372" i="1"/>
  <c r="K371" i="1"/>
  <c r="J371" i="1"/>
  <c r="K370" i="1"/>
  <c r="J370" i="1"/>
  <c r="K369" i="1"/>
  <c r="J369" i="1"/>
  <c r="K367" i="1"/>
  <c r="J367" i="1"/>
  <c r="K365" i="1"/>
  <c r="J365" i="1"/>
  <c r="K364" i="1"/>
  <c r="J364" i="1"/>
  <c r="K363" i="1"/>
  <c r="J363" i="1"/>
  <c r="K362" i="1"/>
  <c r="J362" i="1"/>
  <c r="K361" i="1"/>
  <c r="J361" i="1"/>
  <c r="K359" i="1"/>
  <c r="J359" i="1"/>
  <c r="J358" i="1"/>
  <c r="K357" i="1"/>
  <c r="J357" i="1"/>
  <c r="K356" i="1"/>
  <c r="J356" i="1"/>
  <c r="K355" i="1"/>
  <c r="J355" i="1"/>
  <c r="K354" i="1"/>
  <c r="J354" i="1"/>
  <c r="K353" i="1"/>
  <c r="J353" i="1"/>
  <c r="K351" i="1"/>
  <c r="J351" i="1"/>
  <c r="K349" i="1"/>
  <c r="J349" i="1"/>
  <c r="K348" i="1"/>
  <c r="J348" i="1"/>
  <c r="K347" i="1"/>
  <c r="J347" i="1"/>
  <c r="K346" i="1"/>
  <c r="J346" i="1"/>
  <c r="K345" i="1"/>
  <c r="J345" i="1"/>
  <c r="K343" i="1"/>
  <c r="J343" i="1"/>
  <c r="K341" i="1"/>
  <c r="J341" i="1"/>
  <c r="K340" i="1"/>
  <c r="J340" i="1"/>
  <c r="K339" i="1"/>
  <c r="J339" i="1"/>
  <c r="K338" i="1"/>
  <c r="J338" i="1"/>
  <c r="K337" i="1"/>
  <c r="J337" i="1"/>
  <c r="K335" i="1"/>
  <c r="J335" i="1"/>
  <c r="K333" i="1"/>
  <c r="J333" i="1"/>
  <c r="K332" i="1"/>
  <c r="J332" i="1"/>
  <c r="K331" i="1"/>
  <c r="J331" i="1"/>
  <c r="K330" i="1"/>
  <c r="J330" i="1"/>
  <c r="K329" i="1"/>
  <c r="J329" i="1"/>
  <c r="K327" i="1"/>
  <c r="J327" i="1"/>
  <c r="J326" i="1"/>
  <c r="K325" i="1"/>
  <c r="J325" i="1"/>
  <c r="K324" i="1"/>
  <c r="J324" i="1"/>
  <c r="K323" i="1"/>
  <c r="J323" i="1"/>
  <c r="K322" i="1"/>
  <c r="J322" i="1"/>
  <c r="K321" i="1"/>
  <c r="J321" i="1"/>
  <c r="K319" i="1"/>
  <c r="J319" i="1"/>
  <c r="K317" i="1"/>
  <c r="J317" i="1"/>
  <c r="K316" i="1"/>
  <c r="J316" i="1"/>
  <c r="K315" i="1"/>
  <c r="J315" i="1"/>
  <c r="K314" i="1"/>
  <c r="J314" i="1"/>
  <c r="K313" i="1"/>
  <c r="J313" i="1"/>
  <c r="K311" i="1"/>
  <c r="J311" i="1"/>
  <c r="K309" i="1"/>
  <c r="J309" i="1"/>
  <c r="K308" i="1"/>
  <c r="J308" i="1"/>
  <c r="K307" i="1"/>
  <c r="J307" i="1"/>
  <c r="K306" i="1"/>
  <c r="J306" i="1"/>
  <c r="K305" i="1"/>
  <c r="J305" i="1"/>
  <c r="K303" i="1"/>
  <c r="J303" i="1"/>
  <c r="K301" i="1"/>
  <c r="J301" i="1"/>
  <c r="K300" i="1"/>
  <c r="J300" i="1"/>
  <c r="K299" i="1"/>
  <c r="J299" i="1"/>
  <c r="K298" i="1"/>
  <c r="J298" i="1"/>
  <c r="K297" i="1"/>
  <c r="J297" i="1"/>
  <c r="K295" i="1"/>
  <c r="J295" i="1"/>
  <c r="J294" i="1"/>
  <c r="K293" i="1"/>
  <c r="J293" i="1"/>
  <c r="K292" i="1"/>
  <c r="J292" i="1"/>
  <c r="K291" i="1"/>
  <c r="J291" i="1"/>
  <c r="K290" i="1"/>
  <c r="J290" i="1"/>
  <c r="K289" i="1"/>
  <c r="J289" i="1"/>
  <c r="K287" i="1"/>
  <c r="J287" i="1"/>
  <c r="K285" i="1"/>
  <c r="J285" i="1"/>
  <c r="K284" i="1"/>
  <c r="J284" i="1"/>
  <c r="K283" i="1"/>
  <c r="J283" i="1"/>
  <c r="K282" i="1"/>
  <c r="J282" i="1"/>
  <c r="K281" i="1"/>
  <c r="J281" i="1"/>
  <c r="K279" i="1"/>
  <c r="J279" i="1"/>
  <c r="K277" i="1"/>
  <c r="J277" i="1"/>
  <c r="K276" i="1"/>
  <c r="J276" i="1"/>
  <c r="K275" i="1"/>
  <c r="J275" i="1"/>
  <c r="K274" i="1"/>
  <c r="J274" i="1"/>
  <c r="K273" i="1"/>
  <c r="J273" i="1"/>
  <c r="K271" i="1"/>
  <c r="J271" i="1"/>
  <c r="K269" i="1"/>
  <c r="J269" i="1"/>
  <c r="K268" i="1"/>
  <c r="J268" i="1"/>
  <c r="K267" i="1"/>
  <c r="J267" i="1"/>
  <c r="K266" i="1"/>
  <c r="J266" i="1"/>
  <c r="K265" i="1"/>
  <c r="J265" i="1"/>
  <c r="K263" i="1"/>
  <c r="J263" i="1"/>
  <c r="J262" i="1"/>
  <c r="K261" i="1"/>
  <c r="J261" i="1"/>
  <c r="K260" i="1"/>
  <c r="J260" i="1"/>
  <c r="K259" i="1"/>
  <c r="J259" i="1"/>
  <c r="K258" i="1"/>
  <c r="J258" i="1"/>
  <c r="K257" i="1"/>
  <c r="J257" i="1"/>
  <c r="K255" i="1"/>
  <c r="J255" i="1"/>
  <c r="K253" i="1"/>
  <c r="J253" i="1"/>
  <c r="K252" i="1"/>
  <c r="J252" i="1"/>
  <c r="K251" i="1"/>
  <c r="J251" i="1"/>
  <c r="K250" i="1"/>
  <c r="J250" i="1"/>
  <c r="K249" i="1"/>
  <c r="J249" i="1"/>
  <c r="K247" i="1"/>
  <c r="J247" i="1"/>
  <c r="K245" i="1"/>
  <c r="J245" i="1"/>
  <c r="K244" i="1"/>
  <c r="J244" i="1"/>
  <c r="K243" i="1"/>
  <c r="J243" i="1"/>
  <c r="K242" i="1"/>
  <c r="J242" i="1"/>
  <c r="K241" i="1"/>
  <c r="J241" i="1"/>
  <c r="K239" i="1"/>
  <c r="J239" i="1"/>
  <c r="K237" i="1"/>
  <c r="J237" i="1"/>
  <c r="K236" i="1"/>
  <c r="J236" i="1"/>
  <c r="K235" i="1"/>
  <c r="J235" i="1"/>
  <c r="K234" i="1"/>
  <c r="J234" i="1"/>
  <c r="K233" i="1"/>
  <c r="J233" i="1"/>
  <c r="K231" i="1"/>
  <c r="J231" i="1"/>
  <c r="J230" i="1"/>
  <c r="K229" i="1"/>
  <c r="J229" i="1"/>
  <c r="K228" i="1"/>
  <c r="J228" i="1"/>
  <c r="K227" i="1"/>
  <c r="J227" i="1"/>
  <c r="K226" i="1"/>
  <c r="J226" i="1"/>
  <c r="K225" i="1"/>
  <c r="J225" i="1"/>
  <c r="K223" i="1"/>
  <c r="J223" i="1"/>
  <c r="K221" i="1"/>
  <c r="J221" i="1"/>
  <c r="K220" i="1"/>
  <c r="J220" i="1"/>
  <c r="K219" i="1"/>
  <c r="J219" i="1"/>
  <c r="K218" i="1"/>
  <c r="J218" i="1"/>
  <c r="K217" i="1"/>
  <c r="J217" i="1"/>
  <c r="K215" i="1"/>
  <c r="J215" i="1"/>
  <c r="K213" i="1"/>
  <c r="J213" i="1"/>
  <c r="K212" i="1"/>
  <c r="J212" i="1"/>
  <c r="K211" i="1"/>
  <c r="J211" i="1"/>
  <c r="K210" i="1"/>
  <c r="J210" i="1"/>
  <c r="K209" i="1"/>
  <c r="J209" i="1"/>
  <c r="K207" i="1"/>
  <c r="J207" i="1"/>
  <c r="K205" i="1"/>
  <c r="J205" i="1"/>
  <c r="K204" i="1"/>
  <c r="J204" i="1"/>
  <c r="K203" i="1"/>
  <c r="J203" i="1"/>
  <c r="K202" i="1"/>
  <c r="J202" i="1"/>
  <c r="K201" i="1"/>
  <c r="J201" i="1"/>
  <c r="K199" i="1"/>
  <c r="J199" i="1"/>
  <c r="J198" i="1"/>
  <c r="K197" i="1"/>
  <c r="J197" i="1"/>
  <c r="K196" i="1"/>
  <c r="J196" i="1"/>
  <c r="K195" i="1"/>
  <c r="J195" i="1"/>
  <c r="K194" i="1"/>
  <c r="J194" i="1"/>
  <c r="K193" i="1"/>
  <c r="J193" i="1"/>
  <c r="K191" i="1"/>
  <c r="J191" i="1"/>
  <c r="K189" i="1"/>
  <c r="J189" i="1"/>
  <c r="K188" i="1"/>
  <c r="J188" i="1"/>
  <c r="K187" i="1"/>
  <c r="J187" i="1"/>
  <c r="K186" i="1"/>
  <c r="J186" i="1"/>
  <c r="K185" i="1"/>
  <c r="J185" i="1"/>
  <c r="K183" i="1"/>
  <c r="J183" i="1"/>
  <c r="K181" i="1"/>
  <c r="J181" i="1"/>
  <c r="K180" i="1"/>
  <c r="J180" i="1"/>
  <c r="K179" i="1"/>
  <c r="J179" i="1"/>
  <c r="K178" i="1"/>
  <c r="J178" i="1"/>
  <c r="K177" i="1"/>
  <c r="J177" i="1"/>
  <c r="K175" i="1"/>
  <c r="J175" i="1"/>
  <c r="K173" i="1"/>
  <c r="J173" i="1"/>
  <c r="K172" i="1"/>
  <c r="J172" i="1"/>
  <c r="K171" i="1"/>
  <c r="J171" i="1"/>
  <c r="K170" i="1"/>
  <c r="J170" i="1"/>
  <c r="K169" i="1"/>
  <c r="J169" i="1"/>
  <c r="K167" i="1"/>
  <c r="J167" i="1"/>
  <c r="J166" i="1"/>
  <c r="K165" i="1"/>
  <c r="J165" i="1"/>
  <c r="K164" i="1"/>
  <c r="J164" i="1"/>
  <c r="K163" i="1"/>
  <c r="J163" i="1"/>
  <c r="K162" i="1"/>
  <c r="J162" i="1"/>
  <c r="K161" i="1"/>
  <c r="J161" i="1"/>
  <c r="K159" i="1"/>
  <c r="J159" i="1"/>
  <c r="K157" i="1"/>
  <c r="J157" i="1"/>
  <c r="K156" i="1"/>
  <c r="J156" i="1"/>
  <c r="K155" i="1"/>
  <c r="J155" i="1"/>
  <c r="K154" i="1"/>
  <c r="J154" i="1"/>
  <c r="K153" i="1"/>
  <c r="J153" i="1"/>
  <c r="K151" i="1"/>
  <c r="J151" i="1"/>
  <c r="K149" i="1"/>
  <c r="J149" i="1"/>
  <c r="K148" i="1"/>
  <c r="J148" i="1"/>
  <c r="K147" i="1"/>
  <c r="J147" i="1"/>
  <c r="K146" i="1"/>
  <c r="J146" i="1"/>
  <c r="K145" i="1"/>
  <c r="J145" i="1"/>
  <c r="K143" i="1"/>
  <c r="J143" i="1"/>
  <c r="K141" i="1"/>
  <c r="J141" i="1"/>
  <c r="K140" i="1"/>
  <c r="J140" i="1"/>
  <c r="K139" i="1"/>
  <c r="J139" i="1"/>
  <c r="K138" i="1"/>
  <c r="J138" i="1"/>
  <c r="K137" i="1"/>
  <c r="J137" i="1"/>
  <c r="K135" i="1"/>
  <c r="J135" i="1"/>
  <c r="J134" i="1"/>
  <c r="K133" i="1"/>
  <c r="J133" i="1"/>
  <c r="K132" i="1"/>
  <c r="J132" i="1"/>
  <c r="K131" i="1"/>
  <c r="J131" i="1"/>
  <c r="K130" i="1"/>
  <c r="J130" i="1"/>
  <c r="K129" i="1"/>
  <c r="J129" i="1"/>
  <c r="K127" i="1"/>
  <c r="J127" i="1"/>
  <c r="K125" i="1"/>
  <c r="J125" i="1"/>
  <c r="K124" i="1"/>
  <c r="J124" i="1"/>
  <c r="K123" i="1"/>
  <c r="J123" i="1"/>
  <c r="K122" i="1"/>
  <c r="J122" i="1"/>
  <c r="K121" i="1"/>
  <c r="J121" i="1"/>
  <c r="K119" i="1"/>
  <c r="J119" i="1"/>
  <c r="K117" i="1"/>
  <c r="J117" i="1"/>
  <c r="K116" i="1"/>
  <c r="J116" i="1"/>
  <c r="K115" i="1"/>
  <c r="J115" i="1"/>
  <c r="K114" i="1"/>
  <c r="J114" i="1"/>
  <c r="K113" i="1"/>
  <c r="J113" i="1"/>
  <c r="K111" i="1"/>
  <c r="J111" i="1"/>
  <c r="K109" i="1"/>
  <c r="J109" i="1"/>
  <c r="K108" i="1"/>
  <c r="J108" i="1"/>
  <c r="K107" i="1"/>
  <c r="J107" i="1"/>
  <c r="K106" i="1"/>
  <c r="J106" i="1"/>
  <c r="K105" i="1"/>
  <c r="J105" i="1"/>
  <c r="K103" i="1"/>
  <c r="J103" i="1"/>
  <c r="J102" i="1"/>
  <c r="K101" i="1"/>
  <c r="J101" i="1"/>
  <c r="K100" i="1"/>
  <c r="J100" i="1"/>
  <c r="K99" i="1"/>
  <c r="J99" i="1"/>
  <c r="K98" i="1"/>
  <c r="J98" i="1"/>
  <c r="K97" i="1"/>
  <c r="J97" i="1"/>
  <c r="K95" i="1"/>
  <c r="J95" i="1"/>
  <c r="K93" i="1"/>
  <c r="J93" i="1"/>
  <c r="K92" i="1"/>
  <c r="J92" i="1"/>
  <c r="K91" i="1"/>
  <c r="J91" i="1"/>
  <c r="K90" i="1"/>
  <c r="J90" i="1"/>
  <c r="K89" i="1"/>
  <c r="J89" i="1"/>
  <c r="K87" i="1"/>
  <c r="J87" i="1"/>
  <c r="K85" i="1"/>
  <c r="J85" i="1"/>
  <c r="K84" i="1"/>
  <c r="J84" i="1"/>
  <c r="K83" i="1"/>
  <c r="J83" i="1"/>
  <c r="K82" i="1"/>
  <c r="J82" i="1"/>
  <c r="K81" i="1"/>
  <c r="J81" i="1"/>
  <c r="K79" i="1"/>
  <c r="J79" i="1"/>
  <c r="K77" i="1"/>
  <c r="J77" i="1"/>
  <c r="K76" i="1"/>
  <c r="J76" i="1"/>
  <c r="K75" i="1"/>
  <c r="J75" i="1"/>
  <c r="K74" i="1"/>
  <c r="J74" i="1"/>
  <c r="K73" i="1"/>
  <c r="J73" i="1"/>
  <c r="K71" i="1"/>
  <c r="J71" i="1"/>
  <c r="J70" i="1"/>
  <c r="K69" i="1"/>
  <c r="J69" i="1"/>
  <c r="K68" i="1"/>
  <c r="J68" i="1"/>
  <c r="K67" i="1"/>
  <c r="J67" i="1"/>
  <c r="K66" i="1"/>
  <c r="J66" i="1"/>
  <c r="K65" i="1"/>
  <c r="J65" i="1"/>
  <c r="K63" i="1"/>
  <c r="J63" i="1"/>
  <c r="K61" i="1"/>
  <c r="J61" i="1"/>
  <c r="K60" i="1"/>
  <c r="J60" i="1"/>
  <c r="K59" i="1"/>
  <c r="J59" i="1"/>
  <c r="K58" i="1"/>
  <c r="J58" i="1"/>
  <c r="K57" i="1"/>
  <c r="J57" i="1"/>
  <c r="K55" i="1"/>
  <c r="J55" i="1"/>
  <c r="K53" i="1"/>
  <c r="J53" i="1"/>
  <c r="K52" i="1"/>
  <c r="J52" i="1"/>
  <c r="K51" i="1"/>
  <c r="J51" i="1"/>
  <c r="K50" i="1"/>
  <c r="J50" i="1"/>
  <c r="K49" i="1"/>
  <c r="J49" i="1"/>
  <c r="K47" i="1"/>
  <c r="J47" i="1"/>
  <c r="K45" i="1"/>
  <c r="J45" i="1"/>
  <c r="K44" i="1"/>
  <c r="J44" i="1"/>
  <c r="K43" i="1"/>
  <c r="J43" i="1"/>
  <c r="K42" i="1"/>
  <c r="J42" i="1"/>
  <c r="K41" i="1"/>
  <c r="J41" i="1"/>
  <c r="K39" i="1"/>
  <c r="J39" i="1"/>
  <c r="J38" i="1"/>
  <c r="K37" i="1"/>
  <c r="J37" i="1"/>
  <c r="K36" i="1"/>
  <c r="J36" i="1"/>
  <c r="K35" i="1"/>
  <c r="J35" i="1"/>
  <c r="K34" i="1"/>
  <c r="J34" i="1"/>
  <c r="K33" i="1"/>
  <c r="J33" i="1"/>
  <c r="K31" i="1"/>
  <c r="J31" i="1"/>
  <c r="K29" i="1"/>
  <c r="J29" i="1"/>
  <c r="K28" i="1"/>
  <c r="J28" i="1"/>
  <c r="K27" i="1"/>
  <c r="J27" i="1"/>
  <c r="K26" i="1"/>
  <c r="J26" i="1"/>
  <c r="K25" i="1"/>
  <c r="J25" i="1"/>
  <c r="K23" i="1"/>
  <c r="J23" i="1"/>
  <c r="J21" i="1"/>
  <c r="J94" i="1" l="1"/>
  <c r="J126" i="1"/>
  <c r="J158" i="1"/>
  <c r="J190" i="1"/>
  <c r="J222" i="1"/>
  <c r="J254" i="1"/>
  <c r="J286" i="1"/>
  <c r="J318" i="1"/>
  <c r="J350" i="1"/>
  <c r="J382" i="1"/>
  <c r="J414" i="1"/>
  <c r="J446" i="1"/>
  <c r="J478" i="1"/>
  <c r="K62" i="1"/>
  <c r="K30" i="1"/>
  <c r="J22" i="1"/>
  <c r="J54" i="1"/>
  <c r="J86" i="1"/>
  <c r="J118" i="1"/>
  <c r="J150" i="1"/>
  <c r="J182" i="1"/>
  <c r="J214" i="1"/>
  <c r="J246" i="1"/>
  <c r="J278" i="1"/>
  <c r="J310" i="1"/>
  <c r="J342" i="1"/>
  <c r="J374" i="1"/>
  <c r="J406" i="1"/>
  <c r="J438" i="1"/>
  <c r="J470" i="1"/>
  <c r="J502" i="1"/>
  <c r="J46" i="1"/>
  <c r="J78" i="1"/>
  <c r="J110" i="1"/>
  <c r="J142" i="1"/>
  <c r="J174" i="1"/>
  <c r="J206" i="1"/>
  <c r="J238" i="1"/>
  <c r="J270" i="1"/>
  <c r="J302" i="1"/>
  <c r="J334" i="1"/>
  <c r="J366" i="1"/>
  <c r="J398" i="1"/>
  <c r="J430" i="1"/>
  <c r="J462" i="1"/>
  <c r="J494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8" i="1"/>
  <c r="J336" i="1"/>
  <c r="J344" i="1"/>
  <c r="J352" i="1"/>
  <c r="J360" i="1"/>
  <c r="J368" i="1"/>
  <c r="J376" i="1"/>
  <c r="J384" i="1"/>
  <c r="J392" i="1"/>
  <c r="J400" i="1"/>
  <c r="J408" i="1"/>
  <c r="J416" i="1"/>
  <c r="J424" i="1"/>
  <c r="J432" i="1"/>
  <c r="J440" i="1"/>
  <c r="J448" i="1"/>
  <c r="J456" i="1"/>
  <c r="J464" i="1"/>
  <c r="J472" i="1"/>
  <c r="J480" i="1"/>
  <c r="J488" i="1"/>
  <c r="J496" i="1"/>
</calcChain>
</file>

<file path=xl/comments1.xml><?xml version="1.0" encoding="utf-8"?>
<comments xmlns="http://schemas.openxmlformats.org/spreadsheetml/2006/main">
  <authors>
    <author>Автор</author>
  </authors>
  <commentList>
    <comment ref="J1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charset val="1"/>
          </rPr>
          <t xml:space="preserve">
For MA Envelopes only</t>
        </r>
      </text>
    </comment>
    <comment ref="K1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charset val="1"/>
          </rPr>
          <t xml:space="preserve">
For MA Envelopes only</t>
        </r>
      </text>
    </comment>
  </commentList>
</comments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<sst xmlns="http://schemas.openxmlformats.org/spreadsheetml/2006/main" count="12" uniqueCount="12">
  <si>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</si>
  <si>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</si>
  <si>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</si>
  <si>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</si>
  <si>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</t>
  </si>
  <si>
    <t>volume</t>
  </si>
  <si>
    <t>index</t>
  </si>
  <si>
    <t>Upper</t>
  </si>
  <si>
    <t>Lower</t>
  </si>
  <si>
    <t>SMA(20)</t>
  </si>
  <si>
    <t>DpoTW(20)</t>
  </si>
  <si>
    <t>SMA(TW)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</si>
</sst>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m/dd/yy;@"/>
    <numFmt numFmtId="167" formatCode="_(* #,##0_);_(* \(#,##0\);_(* &quot;-&quot;??_);_(@_)"/>
    <numFmt numFmtId="168" formatCode="_(&quot;$&quot;* #,##0.0000_);_(&quot;$&quot;* \(#,##0.0000\);_(&quot;$&quot;* &quot;-&quot;??_);_(@_)"/>
    <numFmt numFmtId="169" formatCode="_(&quot;$&quot;* #,##0.000000_);_(&quot;$&quot;* \(#,##0.000000\);_(&quot;$&quot;* &quot;-&quot;??_);_(@_)"/>
    <numFmt numFmtId="170" formatCode="#,##0.0000"/>
    <numFmt numFmtId="172" formatCode="0.0000"/>
    <numFmt numFmtId="173" formatCode="#,##0.0000\ _₽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scheme val="minor"/>
    </font>
    <font>
      <b/>
      <sz val="9"/>
      <color indexed="81"/>
      <name val="Tahoma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1">
    <xf numFmtId="0" fontId="0" fillId="0" borderId="0" xfId="0"/>
    <xf numFmtId="167" fontId="0" fillId="0" borderId="0" xfId="1" applyNumberFormat="1" applyFont="1" applyAlignment="1">
      <alignment horizontal="right"/>
    </xf>
    <xf numFmtId="164" fontId="0" fillId="0" borderId="0" xfId="2" applyFont="1" applyAlignment="1">
      <alignment horizontal="right"/>
    </xf>
    <xf numFmtId="166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4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8" fontId="0" fillId="0" borderId="0" xfId="2" applyNumberFormat="1" applyFont="1" applyAlignment="1">
      <alignment horizontal="right"/>
    </xf>
    <xf numFmtId="168" fontId="2" fillId="32" borderId="0" xfId="43" applyNumberFormat="1" applyAlignment="1">
      <alignment horizontal="right"/>
    </xf>
    <xf numFmtId="168" fontId="0" fillId="0" borderId="0" xfId="2" applyNumberFormat="1" applyFont="1" applyAlignment="1">
      <alignment horizontal="center"/>
    </xf>
    <xf numFmtId="169" fontId="2" fillId="32" borderId="0" xfId="43" applyNumberFormat="1" applyAlignment="1">
      <alignment horizontal="right"/>
    </xf>
    <xf numFmtId="0" fontId="20" fillId="0" borderId="0" xfId="0" applyNumberFormat="1" applyFont="1" applyAlignment="1">
      <alignment horizontal="center"/>
    </xf>
    <xf numFmtId="164" fontId="20" fillId="0" borderId="0" xfId="2" applyFont="1" applyAlignment="1">
      <alignment horizontal="right"/>
    </xf>
    <xf numFmtId="167" fontId="20" fillId="0" borderId="0" xfId="1" applyNumberFormat="1" applyFont="1" applyAlignment="1">
      <alignment horizontal="right"/>
    </xf>
    <xf numFmtId="168" fontId="20" fillId="0" borderId="0" xfId="2" applyNumberFormat="1" applyFont="1" applyAlignment="1">
      <alignment horizontal="right"/>
    </xf>
    <xf numFmtId="170" fontId="20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72" fontId="0" fillId="0" borderId="0" xfId="0" applyNumberFormat="1"/>
    <xf numFmtId="173" fontId="0" fillId="0" borderId="0" xfId="2" applyNumberFormat="1" applyFont="1" applyAlignment="1">
      <alignment horizontal="right"/>
    </xf>
    <xf numFmtId="173" fontId="20" fillId="0" borderId="0" xfId="2" applyNumberFormat="1" applyFont="1" applyAlignment="1">
      <alignment horizontal="right"/>
    </xf>
  </cellXfs>
  <cellStyles count="44">
    <cellStyle name="20% - Акцент1" xfId="21" builtinId="30" customBuiltin="1"/>
    <cellStyle name="20% - Акцент2" xfId="25" builtinId="34" customBuiltin="1"/>
    <cellStyle name="20% - Акцент3" xfId="29" builtinId="38" customBuiltin="1"/>
    <cellStyle name="20% - Акцент4" xfId="33" builtinId="42" customBuiltin="1"/>
    <cellStyle name="20% - Акцент5" xfId="37" builtinId="46" customBuiltin="1"/>
    <cellStyle name="20% - Акцент6" xfId="41" builtinId="50" customBuiltin="1"/>
    <cellStyle name="40% - Акцент1" xfId="22" builtinId="31" customBuiltin="1"/>
    <cellStyle name="40% - Акцент2" xfId="26" builtinId="35" customBuiltin="1"/>
    <cellStyle name="40% - Акцент3" xfId="30" builtinId="39" customBuiltin="1"/>
    <cellStyle name="40% - Акцент4" xfId="34" builtinId="43" customBuiltin="1"/>
    <cellStyle name="40% - Акцент5" xfId="38" builtinId="47" customBuiltin="1"/>
    <cellStyle name="40% - Акцент6" xfId="42" builtinId="51" customBuiltin="1"/>
    <cellStyle name="60% - Акцент1" xfId="23" builtinId="32" customBuiltin="1"/>
    <cellStyle name="60% - Акцент2" xfId="27" builtinId="36" customBuiltin="1"/>
    <cellStyle name="60% - Акцент3" xfId="31" builtinId="40" customBuiltin="1"/>
    <cellStyle name="60% - Акцент4" xfId="35" builtinId="44" customBuiltin="1"/>
    <cellStyle name="60% - Акцент5" xfId="39" builtinId="48" customBuiltin="1"/>
    <cellStyle name="60% - Акцент6" xfId="43" builtinId="52" customBuiltin="1"/>
    <cellStyle name="Акцент1" xfId="20" builtinId="29" customBuiltin="1"/>
    <cellStyle name="Акцент2" xfId="24" builtinId="33" customBuiltin="1"/>
    <cellStyle name="Акцент3" xfId="28" builtinId="37" customBuiltin="1"/>
    <cellStyle name="Акцент4" xfId="32" builtinId="41" customBuiltin="1"/>
    <cellStyle name="Акцент5" xfId="36" builtinId="45" customBuiltin="1"/>
    <cellStyle name="Акцент6" xfId="40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Денежный" xfId="2" builtinId="4"/>
    <cellStyle name="Заголовок 1" xfId="4" builtinId="16" customBuiltin="1"/>
    <cellStyle name="Заголовок 2" xfId="5" builtinId="17" customBuiltin="1"/>
    <cellStyle name="Заголовок 3" xfId="6" builtinId="18" customBuiltin="1"/>
    <cellStyle name="Заголовок 4" xfId="7" builtinId="19" customBuiltin="1"/>
    <cellStyle name="Итог" xfId="19" builtinId="25" customBuiltin="1"/>
    <cellStyle name="Контрольная ячейка" xfId="15" builtinId="23" customBuiltin="1"/>
    <cellStyle name="Название" xfId="3" builtinId="15" customBuiltin="1"/>
    <cellStyle name="Нейтральный" xfId="10" builtinId="28" customBuiltin="1"/>
    <cellStyle name="Обычный" xfId="0" builtinId="0"/>
    <cellStyle name="Плохой" xfId="9" builtinId="27" customBuiltin="1"/>
    <cellStyle name="Пояснение" xfId="18" builtinId="53" customBuiltin="1"/>
    <cellStyle name="Примечание" xfId="17" builtinId="10" customBuiltin="1"/>
    <cellStyle name="Связанная ячейка" xfId="14" builtinId="24" customBuiltin="1"/>
    <cellStyle name="Текст предупреждения" xfId="16" builtinId="11" customBuiltin="1"/>
    <cellStyle name="Финансовый" xfId="1" builtinId="3"/>
    <cellStyle name="Хороший" xfId="8" builtinId="26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3" formatCode="#,##0.0000\ _₽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numFmt numFmtId="166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stdata" displayName="testdata" ref="A1:L504" totalsRowShown="0" headerRowDxfId="13" dataDxfId="12">
  <sortState ref="B2:G503">
    <sortCondition ref="B2"/>
  </sortState>
  <tableColumns count="12">
    <tableColumn id="9" name="index" dataDxfId="11"/>
    <tableColumn id="2" name="date" dataDxfId="10"/>
    <tableColumn id="3" name="open" dataDxfId="9"/>
    <tableColumn id="4" name="high" dataDxfId="8"/>
    <tableColumn id="5" name="low" dataDxfId="7"/>
    <tableColumn id="6" name="close" dataDxfId="6"/>
    <tableColumn id="7" name="volume" dataDxfId="5"/>
    <tableColumn id="13" name="SMA(20)" dataDxfId="4">
      <calculatedColumnFormula>(testdata[[#This Row],[Upper]]+testdata[[#This Row],[Lower]])/2</calculatedColumnFormula>
    </tableColumn>
    <tableColumn id="8" name="SMA(TW)" dataDxfId="0" dataCellStyle="Денежный"/>
    <tableColumn id="11" name="Upper" dataDxfId="3"/>
    <tableColumn id="12" name="Lower" dataDxfId="2"/>
    <tableColumn id="1" name="DpoTW(20)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04"/>
  <sheetViews>
    <sheetView tabSelected="1" topLeftCell="A478" workbookViewId="0">
      <selection activeCell="H20" sqref="H20"/>
    </sheetView>
  </sheetViews>
  <sheetFormatPr defaultRowHeight="15" x14ac:dyDescent="0.25"/>
  <cols>
    <col min="1" max="1" width="6" style="7" bestFit="1" customWidth="1"/>
    <col min="2" max="2" width="10.7109375" style="3" customWidth="1"/>
    <col min="3" max="6" width="10.7109375" style="2" customWidth="1"/>
    <col min="7" max="7" width="12.5703125" style="1" bestFit="1" customWidth="1"/>
    <col min="8" max="8" width="10.7109375" style="8" customWidth="1"/>
    <col min="9" max="9" width="14.85546875" style="8" customWidth="1"/>
    <col min="10" max="10" width="10.7109375" style="8" customWidth="1"/>
    <col min="11" max="11" width="11.5703125" style="8" customWidth="1"/>
    <col min="12" max="12" width="11.85546875" customWidth="1"/>
    <col min="13" max="13" width="13.42578125" style="18" customWidth="1"/>
  </cols>
  <sheetData>
    <row r="1" spans="1:13" x14ac:dyDescent="0.25">
      <c r="A1" s="6" t="s">
        <v>6</v>
      </c>
      <c r="B1" s="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4" t="s">
        <v>5</v>
      </c>
      <c r="H1" s="10" t="s">
        <v>9</v>
      </c>
      <c r="I1" s="10" t="s">
        <v>11</v>
      </c>
      <c r="J1" s="10" t="s">
        <v>7</v>
      </c>
      <c r="K1" s="10" t="s">
        <v>8</v>
      </c>
      <c r="L1" s="17" t="s">
        <v>10</v>
      </c>
      <c r="M1"/>
    </row>
    <row r="2" spans="1:13" x14ac:dyDescent="0.25">
      <c r="A2" s="6">
        <v>1</v>
      </c>
      <c r="B2" s="3">
        <v>42738</v>
      </c>
      <c r="C2" s="2">
        <v>212.61</v>
      </c>
      <c r="D2" s="2">
        <v>213.35</v>
      </c>
      <c r="E2" s="2">
        <v>211.52</v>
      </c>
      <c r="F2" s="2">
        <v>212.8</v>
      </c>
      <c r="G2" s="1">
        <v>96708880</v>
      </c>
      <c r="I2" s="19"/>
      <c r="L2" s="16"/>
      <c r="M2"/>
    </row>
    <row r="3" spans="1:13" x14ac:dyDescent="0.25">
      <c r="A3" s="6">
        <v>2</v>
      </c>
      <c r="B3" s="3">
        <v>42739</v>
      </c>
      <c r="C3" s="2">
        <v>213.16</v>
      </c>
      <c r="D3" s="2">
        <v>214.22</v>
      </c>
      <c r="E3" s="2">
        <v>213.15</v>
      </c>
      <c r="F3" s="2">
        <v>214.06</v>
      </c>
      <c r="G3" s="1">
        <v>83348752</v>
      </c>
      <c r="I3" s="19"/>
      <c r="L3" s="16"/>
      <c r="M3"/>
    </row>
    <row r="4" spans="1:13" x14ac:dyDescent="0.25">
      <c r="A4" s="6">
        <v>3</v>
      </c>
      <c r="B4" s="3">
        <v>42740</v>
      </c>
      <c r="C4" s="2">
        <v>213.77</v>
      </c>
      <c r="D4" s="2">
        <v>214.06</v>
      </c>
      <c r="E4" s="2">
        <v>213.02</v>
      </c>
      <c r="F4" s="2">
        <v>213.89</v>
      </c>
      <c r="G4" s="1">
        <v>82961968</v>
      </c>
      <c r="I4" s="19"/>
      <c r="L4" s="16"/>
      <c r="M4"/>
    </row>
    <row r="5" spans="1:13" x14ac:dyDescent="0.25">
      <c r="A5" s="6">
        <v>4</v>
      </c>
      <c r="B5" s="3">
        <v>42741</v>
      </c>
      <c r="C5" s="2">
        <v>214.02</v>
      </c>
      <c r="D5" s="2">
        <v>215.17</v>
      </c>
      <c r="E5" s="2">
        <v>213.42</v>
      </c>
      <c r="F5" s="2">
        <v>214.66</v>
      </c>
      <c r="G5" s="1">
        <v>75744152</v>
      </c>
      <c r="I5" s="19"/>
      <c r="L5" s="16"/>
      <c r="M5"/>
    </row>
    <row r="6" spans="1:13" x14ac:dyDescent="0.25">
      <c r="A6" s="6">
        <v>5</v>
      </c>
      <c r="B6" s="3">
        <v>42744</v>
      </c>
      <c r="C6" s="2">
        <v>214.38</v>
      </c>
      <c r="D6" s="2">
        <v>214.53</v>
      </c>
      <c r="E6" s="2">
        <v>213.91</v>
      </c>
      <c r="F6" s="2">
        <v>213.95</v>
      </c>
      <c r="G6" s="1">
        <v>49684316</v>
      </c>
      <c r="I6" s="19"/>
      <c r="L6" s="16"/>
      <c r="M6"/>
    </row>
    <row r="7" spans="1:13" x14ac:dyDescent="0.25">
      <c r="A7" s="6">
        <v>6</v>
      </c>
      <c r="B7" s="3">
        <v>42745</v>
      </c>
      <c r="C7" s="2">
        <v>213.97</v>
      </c>
      <c r="D7" s="2">
        <v>214.89</v>
      </c>
      <c r="E7" s="2">
        <v>213.52</v>
      </c>
      <c r="F7" s="2">
        <v>213.95</v>
      </c>
      <c r="G7" s="1">
        <v>67500792</v>
      </c>
      <c r="I7" s="19"/>
      <c r="L7" s="16"/>
      <c r="M7"/>
    </row>
    <row r="8" spans="1:13" x14ac:dyDescent="0.25">
      <c r="A8" s="6">
        <v>7</v>
      </c>
      <c r="B8" s="3">
        <v>42746</v>
      </c>
      <c r="C8" s="2">
        <v>213.86</v>
      </c>
      <c r="D8" s="2">
        <v>214.55</v>
      </c>
      <c r="E8" s="2">
        <v>213.13</v>
      </c>
      <c r="F8" s="2">
        <v>214.55</v>
      </c>
      <c r="G8" s="1">
        <v>79014928</v>
      </c>
      <c r="I8" s="19"/>
      <c r="L8" s="16"/>
      <c r="M8"/>
    </row>
    <row r="9" spans="1:13" x14ac:dyDescent="0.25">
      <c r="A9" s="6">
        <v>8</v>
      </c>
      <c r="B9" s="3">
        <v>42747</v>
      </c>
      <c r="C9" s="2">
        <v>213.99</v>
      </c>
      <c r="D9" s="2">
        <v>214.22</v>
      </c>
      <c r="E9" s="2">
        <v>212.53</v>
      </c>
      <c r="F9" s="2">
        <v>214.02</v>
      </c>
      <c r="G9" s="1">
        <v>76329760</v>
      </c>
      <c r="I9" s="19"/>
      <c r="L9" s="16"/>
      <c r="M9"/>
    </row>
    <row r="10" spans="1:13" x14ac:dyDescent="0.25">
      <c r="A10" s="6">
        <v>9</v>
      </c>
      <c r="B10" s="3">
        <v>42748</v>
      </c>
      <c r="C10" s="2">
        <v>214.21</v>
      </c>
      <c r="D10" s="2">
        <v>214.84</v>
      </c>
      <c r="E10" s="2">
        <v>214.17</v>
      </c>
      <c r="F10" s="2">
        <v>214.51</v>
      </c>
      <c r="G10" s="1">
        <v>66385084</v>
      </c>
      <c r="I10" s="19"/>
      <c r="L10" s="16"/>
      <c r="M10"/>
    </row>
    <row r="11" spans="1:13" x14ac:dyDescent="0.25">
      <c r="A11" s="6">
        <v>10</v>
      </c>
      <c r="B11" s="3">
        <v>42752</v>
      </c>
      <c r="C11" s="2">
        <v>213.81</v>
      </c>
      <c r="D11" s="2">
        <v>214.25</v>
      </c>
      <c r="E11" s="2">
        <v>213.33</v>
      </c>
      <c r="F11" s="2">
        <v>213.90538095238099</v>
      </c>
      <c r="G11" s="1">
        <v>64821664</v>
      </c>
      <c r="I11" s="19"/>
      <c r="L11" s="16"/>
      <c r="M11"/>
    </row>
    <row r="12" spans="1:13" x14ac:dyDescent="0.25">
      <c r="A12" s="6">
        <v>11</v>
      </c>
      <c r="B12" s="3">
        <v>42753</v>
      </c>
      <c r="C12" s="2">
        <v>214.02</v>
      </c>
      <c r="D12" s="2">
        <v>214.27</v>
      </c>
      <c r="E12" s="2">
        <v>213.42</v>
      </c>
      <c r="F12" s="2">
        <v>214.120988095238</v>
      </c>
      <c r="G12" s="1">
        <v>57997156</v>
      </c>
      <c r="I12" s="19"/>
      <c r="L12" s="16"/>
      <c r="M12"/>
    </row>
    <row r="13" spans="1:13" x14ac:dyDescent="0.25">
      <c r="A13" s="6">
        <v>12</v>
      </c>
      <c r="B13" s="3">
        <v>42754</v>
      </c>
      <c r="C13" s="2">
        <v>214.31</v>
      </c>
      <c r="D13" s="2">
        <v>214.46</v>
      </c>
      <c r="E13" s="2">
        <v>212.96</v>
      </c>
      <c r="F13" s="2">
        <v>214.33659523809499</v>
      </c>
      <c r="G13" s="1">
        <v>70503512</v>
      </c>
      <c r="I13" s="19"/>
      <c r="L13" s="16"/>
      <c r="M13"/>
    </row>
    <row r="14" spans="1:13" x14ac:dyDescent="0.25">
      <c r="A14" s="6">
        <v>13</v>
      </c>
      <c r="B14" s="3">
        <v>42755</v>
      </c>
      <c r="C14" s="2">
        <v>214.18</v>
      </c>
      <c r="D14" s="2">
        <v>214.75</v>
      </c>
      <c r="E14" s="2">
        <v>213.49</v>
      </c>
      <c r="F14" s="2">
        <v>214.552202380952</v>
      </c>
      <c r="G14" s="1">
        <v>136721344</v>
      </c>
      <c r="I14" s="19"/>
      <c r="L14" s="16"/>
      <c r="M14"/>
    </row>
    <row r="15" spans="1:13" x14ac:dyDescent="0.25">
      <c r="A15" s="6">
        <v>14</v>
      </c>
      <c r="B15" s="3">
        <v>42758</v>
      </c>
      <c r="C15" s="2">
        <v>213.85</v>
      </c>
      <c r="D15" s="2">
        <v>214.28</v>
      </c>
      <c r="E15" s="2">
        <v>212.83</v>
      </c>
      <c r="F15" s="2">
        <v>214.76780952380901</v>
      </c>
      <c r="G15" s="1">
        <v>79450624</v>
      </c>
      <c r="I15" s="19"/>
      <c r="L15" s="16"/>
      <c r="M15"/>
    </row>
    <row r="16" spans="1:13" x14ac:dyDescent="0.25">
      <c r="A16" s="6">
        <v>15</v>
      </c>
      <c r="B16" s="3">
        <v>42759</v>
      </c>
      <c r="C16" s="2">
        <v>213.89</v>
      </c>
      <c r="D16" s="2">
        <v>215.48</v>
      </c>
      <c r="E16" s="2">
        <v>213.77</v>
      </c>
      <c r="F16" s="2">
        <v>215.03</v>
      </c>
      <c r="G16" s="1">
        <v>101142584</v>
      </c>
      <c r="I16" s="19"/>
      <c r="L16" s="16"/>
      <c r="M16"/>
    </row>
    <row r="17" spans="1:13" x14ac:dyDescent="0.25">
      <c r="A17" s="6">
        <v>16</v>
      </c>
      <c r="B17" s="3">
        <v>42760</v>
      </c>
      <c r="C17" s="2">
        <v>216.07</v>
      </c>
      <c r="D17" s="2">
        <v>216.89</v>
      </c>
      <c r="E17" s="2">
        <v>215.89</v>
      </c>
      <c r="F17" s="2">
        <v>216.89</v>
      </c>
      <c r="G17" s="1">
        <v>89374928</v>
      </c>
      <c r="I17" s="19"/>
      <c r="L17" s="16"/>
      <c r="M17"/>
    </row>
    <row r="18" spans="1:13" x14ac:dyDescent="0.25">
      <c r="A18" s="6">
        <v>17</v>
      </c>
      <c r="B18" s="3">
        <v>42761</v>
      </c>
      <c r="C18" s="2">
        <v>216.73</v>
      </c>
      <c r="D18" s="2">
        <v>217.02</v>
      </c>
      <c r="E18" s="2">
        <v>216.36</v>
      </c>
      <c r="F18" s="2">
        <v>216.66</v>
      </c>
      <c r="G18" s="1">
        <v>63477304</v>
      </c>
      <c r="I18" s="19"/>
      <c r="L18" s="16"/>
      <c r="M18"/>
    </row>
    <row r="19" spans="1:13" x14ac:dyDescent="0.25">
      <c r="A19" s="6">
        <v>18</v>
      </c>
      <c r="B19" s="3">
        <v>42762</v>
      </c>
      <c r="C19" s="2">
        <v>216.75</v>
      </c>
      <c r="D19" s="2">
        <v>216.91</v>
      </c>
      <c r="E19" s="2">
        <v>216.12</v>
      </c>
      <c r="F19" s="2">
        <v>216.32</v>
      </c>
      <c r="G19" s="1">
        <v>63202528</v>
      </c>
      <c r="I19" s="19"/>
      <c r="L19" s="16"/>
      <c r="M19"/>
    </row>
    <row r="20" spans="1:13" x14ac:dyDescent="0.25">
      <c r="A20" s="6">
        <v>19</v>
      </c>
      <c r="B20" s="3">
        <v>42765</v>
      </c>
      <c r="C20" s="2">
        <v>215.57</v>
      </c>
      <c r="D20" s="2">
        <v>215.59</v>
      </c>
      <c r="E20" s="2">
        <v>213.9</v>
      </c>
      <c r="F20" s="2">
        <v>214.98</v>
      </c>
      <c r="G20" s="1">
        <v>84399624</v>
      </c>
      <c r="I20" s="19"/>
      <c r="L20" s="16"/>
      <c r="M20"/>
    </row>
    <row r="21" spans="1:13" x14ac:dyDescent="0.25">
      <c r="A21" s="6">
        <v>20</v>
      </c>
      <c r="B21" s="3">
        <v>42766</v>
      </c>
      <c r="C21" s="2">
        <v>214.44</v>
      </c>
      <c r="D21" s="2">
        <v>215.03</v>
      </c>
      <c r="E21" s="2">
        <v>213.82</v>
      </c>
      <c r="F21" s="2">
        <v>214.96</v>
      </c>
      <c r="G21" s="1">
        <v>80317680</v>
      </c>
      <c r="H21" s="8">
        <f>AVERAGE(F2:F21)</f>
        <v>214.64564880952375</v>
      </c>
      <c r="I21" s="19"/>
      <c r="J21" s="8">
        <f>testdata[[#This Row],[SMA(20)]]+0.025*testdata[[#This Row],[SMA(20)]]</f>
        <v>220.01179002976184</v>
      </c>
      <c r="K21" s="8">
        <f>testdata[[#This Row],[SMA(20)]]-0.025*testdata[[#This Row],[SMA(20)]]</f>
        <v>209.27950758928566</v>
      </c>
      <c r="L21" s="16"/>
      <c r="M21"/>
    </row>
    <row r="22" spans="1:13" x14ac:dyDescent="0.25">
      <c r="A22" s="6">
        <v>21</v>
      </c>
      <c r="B22" s="3">
        <v>42767</v>
      </c>
      <c r="C22" s="2">
        <v>215.65</v>
      </c>
      <c r="D22" s="2">
        <v>215.96</v>
      </c>
      <c r="E22" s="2">
        <v>214.4</v>
      </c>
      <c r="F22" s="2">
        <v>215.05</v>
      </c>
      <c r="G22" s="1">
        <v>83743792</v>
      </c>
      <c r="H22" s="8">
        <f t="shared" ref="H22:H85" si="0">AVERAGE(F3:F22)</f>
        <v>214.75814880952376</v>
      </c>
      <c r="I22" s="19"/>
      <c r="J22" s="8">
        <f>testdata[[#This Row],[SMA(20)]]+0.025*testdata[[#This Row],[SMA(20)]]</f>
        <v>220.12710252976186</v>
      </c>
      <c r="K22" s="8">
        <f>testdata[[#This Row],[SMA(20)]]-0.025*testdata[[#This Row],[SMA(20)]]</f>
        <v>209.38919508928566</v>
      </c>
      <c r="L22" s="16"/>
      <c r="M22"/>
    </row>
    <row r="23" spans="1:13" x14ac:dyDescent="0.25">
      <c r="A23" s="6">
        <v>22</v>
      </c>
      <c r="B23" s="3">
        <v>42768</v>
      </c>
      <c r="C23" s="2">
        <v>214.65</v>
      </c>
      <c r="D23" s="2">
        <v>215.5</v>
      </c>
      <c r="E23" s="2">
        <v>214.29</v>
      </c>
      <c r="F23" s="2">
        <v>215.19</v>
      </c>
      <c r="G23" s="1">
        <v>73730552</v>
      </c>
      <c r="H23" s="8">
        <f t="shared" si="0"/>
        <v>214.81464880952376</v>
      </c>
      <c r="I23" s="19"/>
      <c r="J23" s="8">
        <f>testdata[[#This Row],[SMA(20)]]+0.025*testdata[[#This Row],[SMA(20)]]</f>
        <v>220.18501502976184</v>
      </c>
      <c r="K23" s="8">
        <f>testdata[[#This Row],[SMA(20)]]-0.025*testdata[[#This Row],[SMA(20)]]</f>
        <v>209.44428258928568</v>
      </c>
      <c r="L23" s="16"/>
      <c r="M23"/>
    </row>
    <row r="24" spans="1:13" x14ac:dyDescent="0.25">
      <c r="A24" s="6">
        <v>23</v>
      </c>
      <c r="B24" s="3">
        <v>42769</v>
      </c>
      <c r="C24" s="2">
        <v>216.18</v>
      </c>
      <c r="D24" s="2">
        <v>216.87</v>
      </c>
      <c r="E24" s="2">
        <v>215.84</v>
      </c>
      <c r="F24" s="2">
        <v>216.67</v>
      </c>
      <c r="G24" s="1">
        <v>85273832</v>
      </c>
      <c r="H24" s="8">
        <f t="shared" si="0"/>
        <v>214.95364880952374</v>
      </c>
      <c r="I24" s="19"/>
      <c r="J24" s="8">
        <f>testdata[[#This Row],[SMA(20)]]+0.025*testdata[[#This Row],[SMA(20)]]</f>
        <v>220.32749002976183</v>
      </c>
      <c r="K24" s="8">
        <f>testdata[[#This Row],[SMA(20)]]-0.025*testdata[[#This Row],[SMA(20)]]</f>
        <v>209.57980758928565</v>
      </c>
      <c r="L24" s="16"/>
      <c r="M24"/>
    </row>
    <row r="25" spans="1:13" x14ac:dyDescent="0.25">
      <c r="A25" s="6">
        <v>24</v>
      </c>
      <c r="B25" s="3">
        <v>42772</v>
      </c>
      <c r="C25" s="2">
        <v>216.23</v>
      </c>
      <c r="D25" s="2">
        <v>216.66</v>
      </c>
      <c r="E25" s="2">
        <v>215.92</v>
      </c>
      <c r="F25" s="2">
        <v>216.28</v>
      </c>
      <c r="G25" s="1">
        <v>61169192</v>
      </c>
      <c r="H25" s="8">
        <f t="shared" si="0"/>
        <v>215.03464880952379</v>
      </c>
      <c r="I25" s="19"/>
      <c r="J25" s="8">
        <f>testdata[[#This Row],[SMA(20)]]+0.025*testdata[[#This Row],[SMA(20)]]</f>
        <v>220.41051502976188</v>
      </c>
      <c r="K25" s="8">
        <f>testdata[[#This Row],[SMA(20)]]-0.025*testdata[[#This Row],[SMA(20)]]</f>
        <v>209.65878258928569</v>
      </c>
      <c r="L25" s="16"/>
      <c r="M25"/>
    </row>
    <row r="26" spans="1:13" x14ac:dyDescent="0.25">
      <c r="A26" s="6">
        <v>25</v>
      </c>
      <c r="B26" s="3">
        <v>42773</v>
      </c>
      <c r="C26" s="2">
        <v>216.71</v>
      </c>
      <c r="D26" s="2">
        <v>216.97</v>
      </c>
      <c r="E26" s="2">
        <v>216.09</v>
      </c>
      <c r="F26" s="2">
        <v>216.29</v>
      </c>
      <c r="G26" s="1">
        <v>61318484</v>
      </c>
      <c r="H26" s="8">
        <f t="shared" si="0"/>
        <v>215.15164880952381</v>
      </c>
      <c r="I26" s="19"/>
      <c r="J26" s="9">
        <f>testdata[[#This Row],[SMA(20)]]+0.025*testdata[[#This Row],[SMA(20)]]</f>
        <v>220.53044002976191</v>
      </c>
      <c r="K26" s="9">
        <f>testdata[[#This Row],[SMA(20)]]-0.025*testdata[[#This Row],[SMA(20)]]</f>
        <v>209.77285758928571</v>
      </c>
      <c r="L26" s="16"/>
      <c r="M26"/>
    </row>
    <row r="27" spans="1:13" x14ac:dyDescent="0.25">
      <c r="A27" s="6">
        <v>26</v>
      </c>
      <c r="B27" s="3">
        <v>42774</v>
      </c>
      <c r="C27" s="2">
        <v>215.98</v>
      </c>
      <c r="D27" s="2">
        <v>216.72</v>
      </c>
      <c r="E27" s="2">
        <v>215.7</v>
      </c>
      <c r="F27" s="2">
        <v>216.58</v>
      </c>
      <c r="G27" s="1">
        <v>54581376</v>
      </c>
      <c r="H27" s="8">
        <f t="shared" si="0"/>
        <v>215.28314880952379</v>
      </c>
      <c r="I27" s="19"/>
      <c r="J27" s="8">
        <f>testdata[[#This Row],[SMA(20)]]+0.025*testdata[[#This Row],[SMA(20)]]</f>
        <v>220.66522752976189</v>
      </c>
      <c r="K27" s="8">
        <f>testdata[[#This Row],[SMA(20)]]-0.025*testdata[[#This Row],[SMA(20)]]</f>
        <v>209.9010700892857</v>
      </c>
      <c r="L27" s="16"/>
      <c r="M27"/>
    </row>
    <row r="28" spans="1:13" x14ac:dyDescent="0.25">
      <c r="A28" s="6">
        <v>27</v>
      </c>
      <c r="B28" s="3">
        <v>42775</v>
      </c>
      <c r="C28" s="2">
        <v>216.88</v>
      </c>
      <c r="D28" s="2">
        <v>218.19</v>
      </c>
      <c r="E28" s="2">
        <v>216.84</v>
      </c>
      <c r="F28" s="2">
        <v>217.86</v>
      </c>
      <c r="G28" s="1">
        <v>69811760</v>
      </c>
      <c r="H28" s="8">
        <f t="shared" si="0"/>
        <v>215.44864880952377</v>
      </c>
      <c r="I28" s="19"/>
      <c r="J28" s="8">
        <f>testdata[[#This Row],[SMA(20)]]+0.025*testdata[[#This Row],[SMA(20)]]</f>
        <v>220.83486502976186</v>
      </c>
      <c r="K28" s="8">
        <f>testdata[[#This Row],[SMA(20)]]-0.025*testdata[[#This Row],[SMA(20)]]</f>
        <v>210.06243258928569</v>
      </c>
      <c r="L28" s="16"/>
      <c r="M28"/>
    </row>
    <row r="29" spans="1:13" x14ac:dyDescent="0.25">
      <c r="A29" s="6">
        <v>28</v>
      </c>
      <c r="B29" s="3">
        <v>42776</v>
      </c>
      <c r="C29" s="2">
        <v>218.24</v>
      </c>
      <c r="D29" s="2">
        <v>218.97</v>
      </c>
      <c r="E29" s="2">
        <v>217.88</v>
      </c>
      <c r="F29" s="2">
        <v>218.72</v>
      </c>
      <c r="G29" s="1">
        <v>69875952</v>
      </c>
      <c r="H29" s="8">
        <f t="shared" si="0"/>
        <v>215.68364880952376</v>
      </c>
      <c r="I29" s="19"/>
      <c r="J29" s="8">
        <f>testdata[[#This Row],[SMA(20)]]+0.025*testdata[[#This Row],[SMA(20)]]</f>
        <v>221.07574002976185</v>
      </c>
      <c r="K29" s="8">
        <f>testdata[[#This Row],[SMA(20)]]-0.025*testdata[[#This Row],[SMA(20)]]</f>
        <v>210.29155758928567</v>
      </c>
      <c r="L29" s="16"/>
      <c r="M29"/>
    </row>
    <row r="30" spans="1:13" x14ac:dyDescent="0.25">
      <c r="A30" s="6">
        <v>29</v>
      </c>
      <c r="B30" s="3">
        <v>42779</v>
      </c>
      <c r="C30" s="2">
        <v>219.26</v>
      </c>
      <c r="D30" s="2">
        <v>220.19</v>
      </c>
      <c r="E30" s="2">
        <v>219.23</v>
      </c>
      <c r="F30" s="2">
        <v>219.91</v>
      </c>
      <c r="G30" s="1">
        <v>58408632</v>
      </c>
      <c r="H30" s="8">
        <f t="shared" si="0"/>
        <v>215.9536488095238</v>
      </c>
      <c r="I30" s="19">
        <f>AVERAGE(F2:F21)</f>
        <v>214.64564880952375</v>
      </c>
      <c r="J30" s="8">
        <f>testdata[[#This Row],[SMA(20)]]+0.025*testdata[[#This Row],[SMA(20)]]</f>
        <v>221.3524900297619</v>
      </c>
      <c r="K30" s="8">
        <f>testdata[[#This Row],[SMA(20)]]-0.025*testdata[[#This Row],[SMA(20)]]</f>
        <v>210.5548075892857</v>
      </c>
      <c r="L30" s="16">
        <f>testdata[[#This Row],[close]]-testdata[[#This Row],[SMA(TW)]]</f>
        <v>5.2643511904762477</v>
      </c>
      <c r="M30"/>
    </row>
    <row r="31" spans="1:13" x14ac:dyDescent="0.25">
      <c r="A31" s="6">
        <v>30</v>
      </c>
      <c r="B31" s="3">
        <v>42780</v>
      </c>
      <c r="C31" s="2">
        <v>219.71</v>
      </c>
      <c r="D31" s="2">
        <v>220.8</v>
      </c>
      <c r="E31" s="2">
        <v>219.33</v>
      </c>
      <c r="F31" s="2">
        <v>220.79</v>
      </c>
      <c r="G31" s="1">
        <v>75266840</v>
      </c>
      <c r="H31" s="8">
        <f t="shared" si="0"/>
        <v>216.29787976190474</v>
      </c>
      <c r="I31" s="19">
        <f t="shared" ref="I31:I94" si="1">AVERAGE(F3:F22)</f>
        <v>214.75814880952376</v>
      </c>
      <c r="J31" s="8">
        <f>testdata[[#This Row],[SMA(20)]]+0.025*testdata[[#This Row],[SMA(20)]]</f>
        <v>221.70532675595237</v>
      </c>
      <c r="K31" s="8">
        <f>testdata[[#This Row],[SMA(20)]]-0.025*testdata[[#This Row],[SMA(20)]]</f>
        <v>210.89043276785711</v>
      </c>
      <c r="L31" s="16">
        <f>testdata[[#This Row],[close]]-testdata[[#This Row],[SMA(TW)]]</f>
        <v>6.0318511904762317</v>
      </c>
      <c r="M31"/>
    </row>
    <row r="32" spans="1:13" x14ac:dyDescent="0.25">
      <c r="A32" s="6">
        <v>31</v>
      </c>
      <c r="B32" s="3">
        <v>42781</v>
      </c>
      <c r="C32" s="2">
        <v>220.55</v>
      </c>
      <c r="D32" s="2">
        <v>222.15</v>
      </c>
      <c r="E32" s="2">
        <v>220.5</v>
      </c>
      <c r="F32" s="2">
        <v>221.94</v>
      </c>
      <c r="G32" s="1">
        <v>91860344</v>
      </c>
      <c r="H32" s="8">
        <f t="shared" si="0"/>
        <v>216.68883035714279</v>
      </c>
      <c r="I32" s="19">
        <f t="shared" si="1"/>
        <v>214.81464880952376</v>
      </c>
      <c r="J32" s="8">
        <f>testdata[[#This Row],[SMA(20)]]+0.025*testdata[[#This Row],[SMA(20)]]</f>
        <v>222.10605111607137</v>
      </c>
      <c r="K32" s="8">
        <f>testdata[[#This Row],[SMA(20)]]-0.025*testdata[[#This Row],[SMA(20)]]</f>
        <v>211.27160959821421</v>
      </c>
      <c r="L32" s="16">
        <f>testdata[[#This Row],[close]]-testdata[[#This Row],[SMA(TW)]]</f>
        <v>7.1253511904762377</v>
      </c>
      <c r="M32"/>
    </row>
    <row r="33" spans="1:13" x14ac:dyDescent="0.25">
      <c r="A33" s="6">
        <v>32</v>
      </c>
      <c r="B33" s="3">
        <v>42782</v>
      </c>
      <c r="C33" s="2">
        <v>221.98</v>
      </c>
      <c r="D33" s="2">
        <v>222.16</v>
      </c>
      <c r="E33" s="2">
        <v>220.93</v>
      </c>
      <c r="F33" s="2">
        <v>221.75</v>
      </c>
      <c r="G33" s="1">
        <v>89676304</v>
      </c>
      <c r="H33" s="8">
        <f t="shared" si="0"/>
        <v>217.05950059523803</v>
      </c>
      <c r="I33" s="19">
        <f t="shared" si="1"/>
        <v>214.95364880952374</v>
      </c>
      <c r="J33" s="8">
        <f>testdata[[#This Row],[SMA(20)]]+0.025*testdata[[#This Row],[SMA(20)]]</f>
        <v>222.485988110119</v>
      </c>
      <c r="K33" s="8">
        <f>testdata[[#This Row],[SMA(20)]]-0.025*testdata[[#This Row],[SMA(20)]]</f>
        <v>211.63301308035707</v>
      </c>
      <c r="L33" s="16">
        <f>testdata[[#This Row],[close]]-testdata[[#This Row],[SMA(TW)]]</f>
        <v>6.7963511904762584</v>
      </c>
      <c r="M33"/>
    </row>
    <row r="34" spans="1:13" x14ac:dyDescent="0.25">
      <c r="A34" s="6">
        <v>33</v>
      </c>
      <c r="B34" s="3">
        <v>42783</v>
      </c>
      <c r="C34" s="2">
        <v>221.03</v>
      </c>
      <c r="D34" s="2">
        <v>222.1</v>
      </c>
      <c r="E34" s="2">
        <v>221.01</v>
      </c>
      <c r="F34" s="2">
        <v>222.1</v>
      </c>
      <c r="G34" s="1">
        <v>81718352</v>
      </c>
      <c r="H34" s="8">
        <f t="shared" si="0"/>
        <v>217.43689047619046</v>
      </c>
      <c r="I34" s="19">
        <f t="shared" si="1"/>
        <v>215.03464880952379</v>
      </c>
      <c r="J34" s="8">
        <f>testdata[[#This Row],[SMA(20)]]+0.025*testdata[[#This Row],[SMA(20)]]</f>
        <v>222.87281273809521</v>
      </c>
      <c r="K34" s="8">
        <f>testdata[[#This Row],[SMA(20)]]-0.025*testdata[[#This Row],[SMA(20)]]</f>
        <v>212.00096821428571</v>
      </c>
      <c r="L34" s="16">
        <f>testdata[[#This Row],[close]]-testdata[[#This Row],[SMA(TW)]]</f>
        <v>7.065351190476207</v>
      </c>
      <c r="M34"/>
    </row>
    <row r="35" spans="1:13" x14ac:dyDescent="0.25">
      <c r="A35" s="6">
        <v>34</v>
      </c>
      <c r="B35" s="3">
        <v>42787</v>
      </c>
      <c r="C35" s="2">
        <v>222.51</v>
      </c>
      <c r="D35" s="2">
        <v>223.62</v>
      </c>
      <c r="E35" s="2">
        <v>222.5</v>
      </c>
      <c r="F35" s="2">
        <v>223.43</v>
      </c>
      <c r="G35" s="1">
        <v>94146880</v>
      </c>
      <c r="H35" s="8">
        <f t="shared" si="0"/>
        <v>217.87000000000003</v>
      </c>
      <c r="I35" s="19">
        <f t="shared" si="1"/>
        <v>215.15164880952381</v>
      </c>
      <c r="J35" s="8">
        <f>testdata[[#This Row],[SMA(20)]]+0.025*testdata[[#This Row],[SMA(20)]]</f>
        <v>223.31675000000004</v>
      </c>
      <c r="K35" s="8">
        <f>testdata[[#This Row],[SMA(20)]]-0.025*testdata[[#This Row],[SMA(20)]]</f>
        <v>212.42325000000002</v>
      </c>
      <c r="L35" s="16">
        <f>testdata[[#This Row],[close]]-testdata[[#This Row],[SMA(TW)]]</f>
        <v>8.2783511904762008</v>
      </c>
      <c r="M35"/>
    </row>
    <row r="36" spans="1:13" x14ac:dyDescent="0.25">
      <c r="A36" s="6">
        <v>35</v>
      </c>
      <c r="B36" s="3">
        <v>42788</v>
      </c>
      <c r="C36" s="2">
        <v>222.98</v>
      </c>
      <c r="D36" s="2">
        <v>223.47</v>
      </c>
      <c r="E36" s="2">
        <v>222.8</v>
      </c>
      <c r="F36" s="2">
        <v>223.23</v>
      </c>
      <c r="G36" s="1">
        <v>65747160</v>
      </c>
      <c r="H36" s="8">
        <f t="shared" si="0"/>
        <v>218.27999999999997</v>
      </c>
      <c r="I36" s="19">
        <f t="shared" si="1"/>
        <v>215.28314880952379</v>
      </c>
      <c r="J36" s="8">
        <f>testdata[[#This Row],[SMA(20)]]+0.025*testdata[[#This Row],[SMA(20)]]</f>
        <v>223.73699999999997</v>
      </c>
      <c r="K36" s="8">
        <f>testdata[[#This Row],[SMA(20)]]-0.025*testdata[[#This Row],[SMA(20)]]</f>
        <v>212.82299999999998</v>
      </c>
      <c r="L36" s="16">
        <f>testdata[[#This Row],[close]]-testdata[[#This Row],[SMA(TW)]]</f>
        <v>7.9468511904761954</v>
      </c>
      <c r="M36"/>
    </row>
    <row r="37" spans="1:13" x14ac:dyDescent="0.25">
      <c r="A37" s="6">
        <v>36</v>
      </c>
      <c r="B37" s="3">
        <v>42789</v>
      </c>
      <c r="C37" s="2">
        <v>223.79</v>
      </c>
      <c r="D37" s="2">
        <v>223.81</v>
      </c>
      <c r="E37" s="2">
        <v>222.55</v>
      </c>
      <c r="F37" s="2">
        <v>223.38</v>
      </c>
      <c r="G37" s="1">
        <v>78978816</v>
      </c>
      <c r="H37" s="8">
        <f t="shared" si="0"/>
        <v>218.60449999999997</v>
      </c>
      <c r="I37" s="19">
        <f t="shared" si="1"/>
        <v>215.44864880952377</v>
      </c>
      <c r="J37" s="8">
        <f>testdata[[#This Row],[SMA(20)]]+0.025*testdata[[#This Row],[SMA(20)]]</f>
        <v>224.06961249999998</v>
      </c>
      <c r="K37" s="8">
        <f>testdata[[#This Row],[SMA(20)]]-0.025*testdata[[#This Row],[SMA(20)]]</f>
        <v>213.13938749999997</v>
      </c>
      <c r="L37" s="16">
        <f>testdata[[#This Row],[close]]-testdata[[#This Row],[SMA(TW)]]</f>
        <v>7.9313511904762208</v>
      </c>
      <c r="M37"/>
    </row>
    <row r="38" spans="1:13" x14ac:dyDescent="0.25">
      <c r="A38" s="6">
        <v>37</v>
      </c>
      <c r="B38" s="3">
        <v>42790</v>
      </c>
      <c r="C38" s="2">
        <v>222.45</v>
      </c>
      <c r="D38" s="2">
        <v>223.71</v>
      </c>
      <c r="E38" s="2">
        <v>222.41</v>
      </c>
      <c r="F38" s="2">
        <v>223.66</v>
      </c>
      <c r="G38" s="1">
        <v>87198608</v>
      </c>
      <c r="H38" s="8">
        <f t="shared" si="0"/>
        <v>218.95449999999997</v>
      </c>
      <c r="I38" s="19">
        <f t="shared" si="1"/>
        <v>215.68364880952376</v>
      </c>
      <c r="J38" s="8">
        <f>testdata[[#This Row],[SMA(20)]]+0.025*testdata[[#This Row],[SMA(20)]]</f>
        <v>224.42836249999996</v>
      </c>
      <c r="K38" s="8">
        <f>testdata[[#This Row],[SMA(20)]]-0.025*testdata[[#This Row],[SMA(20)]]</f>
        <v>213.48063749999997</v>
      </c>
      <c r="L38" s="16">
        <f>testdata[[#This Row],[close]]-testdata[[#This Row],[SMA(TW)]]</f>
        <v>7.9763511904762368</v>
      </c>
      <c r="M38"/>
    </row>
    <row r="39" spans="1:13" x14ac:dyDescent="0.25">
      <c r="A39" s="6">
        <v>38</v>
      </c>
      <c r="B39" s="3">
        <v>42793</v>
      </c>
      <c r="C39" s="2">
        <v>223.57</v>
      </c>
      <c r="D39" s="2">
        <v>224.2</v>
      </c>
      <c r="E39" s="2">
        <v>223.29</v>
      </c>
      <c r="F39" s="2">
        <v>224.01</v>
      </c>
      <c r="G39" s="1">
        <v>59819992</v>
      </c>
      <c r="H39" s="8">
        <f t="shared" si="0"/>
        <v>219.339</v>
      </c>
      <c r="I39" s="19">
        <f t="shared" si="1"/>
        <v>215.9536488095238</v>
      </c>
      <c r="J39" s="8">
        <f>testdata[[#This Row],[SMA(20)]]+0.025*testdata[[#This Row],[SMA(20)]]</f>
        <v>224.822475</v>
      </c>
      <c r="K39" s="8">
        <f>testdata[[#This Row],[SMA(20)]]-0.025*testdata[[#This Row],[SMA(20)]]</f>
        <v>213.855525</v>
      </c>
      <c r="L39" s="16">
        <f>testdata[[#This Row],[close]]-testdata[[#This Row],[SMA(TW)]]</f>
        <v>8.0563511904761924</v>
      </c>
      <c r="M39"/>
    </row>
    <row r="40" spans="1:13" x14ac:dyDescent="0.25">
      <c r="A40" s="6">
        <v>39</v>
      </c>
      <c r="B40" s="3">
        <v>42794</v>
      </c>
      <c r="C40" s="2">
        <v>223.6</v>
      </c>
      <c r="D40" s="2">
        <v>223.86</v>
      </c>
      <c r="E40" s="2">
        <v>222.98</v>
      </c>
      <c r="F40" s="2">
        <v>223.41</v>
      </c>
      <c r="G40" s="1">
        <v>102631472</v>
      </c>
      <c r="H40" s="8">
        <f t="shared" si="0"/>
        <v>219.76050000000001</v>
      </c>
      <c r="I40" s="19">
        <f t="shared" si="1"/>
        <v>216.29787976190474</v>
      </c>
      <c r="J40" s="8">
        <f>testdata[[#This Row],[SMA(20)]]+0.025*testdata[[#This Row],[SMA(20)]]</f>
        <v>225.2545125</v>
      </c>
      <c r="K40" s="8">
        <f>testdata[[#This Row],[SMA(20)]]-0.025*testdata[[#This Row],[SMA(20)]]</f>
        <v>214.26648750000001</v>
      </c>
      <c r="L40" s="16">
        <f>testdata[[#This Row],[close]]-testdata[[#This Row],[SMA(TW)]]</f>
        <v>7.1121202380952582</v>
      </c>
      <c r="M40"/>
    </row>
    <row r="41" spans="1:13" x14ac:dyDescent="0.25">
      <c r="A41" s="6">
        <v>40</v>
      </c>
      <c r="B41" s="3">
        <v>42795</v>
      </c>
      <c r="C41" s="2">
        <v>225.22</v>
      </c>
      <c r="D41" s="2">
        <v>227.04</v>
      </c>
      <c r="E41" s="2">
        <v>225.2</v>
      </c>
      <c r="F41" s="2">
        <v>226.53</v>
      </c>
      <c r="G41" s="1">
        <v>157879712</v>
      </c>
      <c r="H41" s="8">
        <f t="shared" si="0"/>
        <v>220.339</v>
      </c>
      <c r="I41" s="19">
        <f t="shared" si="1"/>
        <v>216.68883035714279</v>
      </c>
      <c r="J41" s="8">
        <f>testdata[[#This Row],[SMA(20)]]+0.025*testdata[[#This Row],[SMA(20)]]</f>
        <v>225.847475</v>
      </c>
      <c r="K41" s="8">
        <f>testdata[[#This Row],[SMA(20)]]-0.025*testdata[[#This Row],[SMA(20)]]</f>
        <v>214.83052499999999</v>
      </c>
      <c r="L41" s="16">
        <f>testdata[[#This Row],[close]]-testdata[[#This Row],[SMA(TW)]]</f>
        <v>9.84116964285721</v>
      </c>
      <c r="M41"/>
    </row>
    <row r="42" spans="1:13" x14ac:dyDescent="0.25">
      <c r="A42" s="6">
        <v>41</v>
      </c>
      <c r="B42" s="3">
        <v>42796</v>
      </c>
      <c r="C42" s="2">
        <v>226.33</v>
      </c>
      <c r="D42" s="2">
        <v>226.34</v>
      </c>
      <c r="E42" s="2">
        <v>225.05</v>
      </c>
      <c r="F42" s="2">
        <v>225.11</v>
      </c>
      <c r="G42" s="1">
        <v>74353376</v>
      </c>
      <c r="H42" s="8">
        <f t="shared" si="0"/>
        <v>220.84199999999996</v>
      </c>
      <c r="I42" s="19">
        <f t="shared" si="1"/>
        <v>217.05950059523803</v>
      </c>
      <c r="J42" s="8">
        <f>testdata[[#This Row],[SMA(20)]]+0.025*testdata[[#This Row],[SMA(20)]]</f>
        <v>226.36304999999996</v>
      </c>
      <c r="K42" s="8">
        <f>testdata[[#This Row],[SMA(20)]]-0.025*testdata[[#This Row],[SMA(20)]]</f>
        <v>215.32094999999995</v>
      </c>
      <c r="L42" s="16">
        <f>testdata[[#This Row],[close]]-testdata[[#This Row],[SMA(TW)]]</f>
        <v>8.0504994047619789</v>
      </c>
      <c r="M42"/>
    </row>
    <row r="43" spans="1:13" x14ac:dyDescent="0.25">
      <c r="A43" s="6">
        <v>42</v>
      </c>
      <c r="B43" s="3">
        <v>42797</v>
      </c>
      <c r="C43" s="2">
        <v>225.01</v>
      </c>
      <c r="D43" s="2">
        <v>225.43</v>
      </c>
      <c r="E43" s="2">
        <v>224.6</v>
      </c>
      <c r="F43" s="2">
        <v>225.25</v>
      </c>
      <c r="G43" s="1">
        <v>86767480</v>
      </c>
      <c r="H43" s="8">
        <f t="shared" si="0"/>
        <v>221.34499999999997</v>
      </c>
      <c r="I43" s="19">
        <f t="shared" si="1"/>
        <v>217.43689047619046</v>
      </c>
      <c r="J43" s="8">
        <f>testdata[[#This Row],[SMA(20)]]+0.025*testdata[[#This Row],[SMA(20)]]</f>
        <v>226.87862499999997</v>
      </c>
      <c r="K43" s="8">
        <f>testdata[[#This Row],[SMA(20)]]-0.025*testdata[[#This Row],[SMA(20)]]</f>
        <v>215.81137499999997</v>
      </c>
      <c r="L43" s="16">
        <f>testdata[[#This Row],[close]]-testdata[[#This Row],[SMA(TW)]]</f>
        <v>7.813109523809544</v>
      </c>
      <c r="M43"/>
    </row>
    <row r="44" spans="1:13" x14ac:dyDescent="0.25">
      <c r="A44" s="6">
        <v>43</v>
      </c>
      <c r="B44" s="3">
        <v>42800</v>
      </c>
      <c r="C44" s="2">
        <v>224.38</v>
      </c>
      <c r="D44" s="2">
        <v>224.97</v>
      </c>
      <c r="E44" s="2">
        <v>223.92</v>
      </c>
      <c r="F44" s="2">
        <v>224.58</v>
      </c>
      <c r="G44" s="1">
        <v>58630368</v>
      </c>
      <c r="H44" s="8">
        <f t="shared" si="0"/>
        <v>221.74050000000003</v>
      </c>
      <c r="I44" s="19">
        <f t="shared" si="1"/>
        <v>217.87000000000003</v>
      </c>
      <c r="J44" s="8">
        <f>testdata[[#This Row],[SMA(20)]]+0.025*testdata[[#This Row],[SMA(20)]]</f>
        <v>227.28401250000002</v>
      </c>
      <c r="K44" s="8">
        <f>testdata[[#This Row],[SMA(20)]]-0.025*testdata[[#This Row],[SMA(20)]]</f>
        <v>216.19698750000003</v>
      </c>
      <c r="L44" s="16">
        <f>testdata[[#This Row],[close]]-testdata[[#This Row],[SMA(TW)]]</f>
        <v>6.7099999999999795</v>
      </c>
      <c r="M44"/>
    </row>
    <row r="45" spans="1:13" x14ac:dyDescent="0.25">
      <c r="A45" s="6">
        <v>44</v>
      </c>
      <c r="B45" s="3">
        <v>42801</v>
      </c>
      <c r="C45" s="2">
        <v>224.25</v>
      </c>
      <c r="D45" s="2">
        <v>224.64</v>
      </c>
      <c r="E45" s="2">
        <v>223.68</v>
      </c>
      <c r="F45" s="2">
        <v>223.91</v>
      </c>
      <c r="G45" s="1">
        <v>68910464</v>
      </c>
      <c r="H45" s="8">
        <f t="shared" si="0"/>
        <v>222.12199999999999</v>
      </c>
      <c r="I45" s="19">
        <f t="shared" si="1"/>
        <v>218.27999999999997</v>
      </c>
      <c r="J45" s="8">
        <f>testdata[[#This Row],[SMA(20)]]+0.025*testdata[[#This Row],[SMA(20)]]</f>
        <v>227.67505</v>
      </c>
      <c r="K45" s="8">
        <f>testdata[[#This Row],[SMA(20)]]-0.025*testdata[[#This Row],[SMA(20)]]</f>
        <v>216.56894999999997</v>
      </c>
      <c r="L45" s="16">
        <f>testdata[[#This Row],[close]]-testdata[[#This Row],[SMA(TW)]]</f>
        <v>5.6300000000000239</v>
      </c>
      <c r="M45"/>
    </row>
    <row r="46" spans="1:13" x14ac:dyDescent="0.25">
      <c r="A46" s="6">
        <v>45</v>
      </c>
      <c r="B46" s="3">
        <v>42802</v>
      </c>
      <c r="C46" s="2">
        <v>224.23</v>
      </c>
      <c r="D46" s="2">
        <v>224.51</v>
      </c>
      <c r="E46" s="2">
        <v>223.34</v>
      </c>
      <c r="F46" s="2">
        <v>223.49</v>
      </c>
      <c r="G46" s="1">
        <v>82739456</v>
      </c>
      <c r="H46" s="8">
        <f t="shared" si="0"/>
        <v>222.48199999999997</v>
      </c>
      <c r="I46" s="19">
        <f t="shared" si="1"/>
        <v>218.60449999999997</v>
      </c>
      <c r="J46" s="8">
        <f>testdata[[#This Row],[SMA(20)]]+0.025*testdata[[#This Row],[SMA(20)]]</f>
        <v>228.04404999999997</v>
      </c>
      <c r="K46" s="8">
        <f>testdata[[#This Row],[SMA(20)]]-0.025*testdata[[#This Row],[SMA(20)]]</f>
        <v>216.91994999999997</v>
      </c>
      <c r="L46" s="16">
        <f>testdata[[#This Row],[close]]-testdata[[#This Row],[SMA(TW)]]</f>
        <v>4.8855000000000359</v>
      </c>
      <c r="M46"/>
    </row>
    <row r="47" spans="1:13" x14ac:dyDescent="0.25">
      <c r="A47" s="6">
        <v>46</v>
      </c>
      <c r="B47" s="3">
        <v>42803</v>
      </c>
      <c r="C47" s="2">
        <v>223.62</v>
      </c>
      <c r="D47" s="2">
        <v>224.13</v>
      </c>
      <c r="E47" s="2">
        <v>222.72</v>
      </c>
      <c r="F47" s="2">
        <v>223.78</v>
      </c>
      <c r="G47" s="1">
        <v>95986360</v>
      </c>
      <c r="H47" s="8">
        <f t="shared" si="0"/>
        <v>222.84199999999996</v>
      </c>
      <c r="I47" s="19">
        <f t="shared" si="1"/>
        <v>218.95449999999997</v>
      </c>
      <c r="J47" s="8">
        <f>testdata[[#This Row],[SMA(20)]]+0.025*testdata[[#This Row],[SMA(20)]]</f>
        <v>228.41304999999994</v>
      </c>
      <c r="K47" s="8">
        <f>testdata[[#This Row],[SMA(20)]]-0.025*testdata[[#This Row],[SMA(20)]]</f>
        <v>217.27094999999997</v>
      </c>
      <c r="L47" s="16">
        <f>testdata[[#This Row],[close]]-testdata[[#This Row],[SMA(TW)]]</f>
        <v>4.8255000000000337</v>
      </c>
      <c r="M47"/>
    </row>
    <row r="48" spans="1:13" x14ac:dyDescent="0.25">
      <c r="A48" s="6">
        <v>47</v>
      </c>
      <c r="B48" s="3">
        <v>42804</v>
      </c>
      <c r="C48" s="2">
        <v>224.82</v>
      </c>
      <c r="D48" s="2">
        <v>224.87</v>
      </c>
      <c r="E48" s="2">
        <v>223.52</v>
      </c>
      <c r="F48" s="2">
        <v>224.56</v>
      </c>
      <c r="G48" s="1">
        <v>86785840</v>
      </c>
      <c r="H48" s="8">
        <f t="shared" si="0"/>
        <v>223.17699999999999</v>
      </c>
      <c r="I48" s="19">
        <f t="shared" si="1"/>
        <v>219.339</v>
      </c>
      <c r="J48" s="8">
        <f>testdata[[#This Row],[SMA(20)]]+0.025*testdata[[#This Row],[SMA(20)]]</f>
        <v>228.75642499999998</v>
      </c>
      <c r="K48" s="8">
        <f>testdata[[#This Row],[SMA(20)]]-0.025*testdata[[#This Row],[SMA(20)]]</f>
        <v>217.59757500000001</v>
      </c>
      <c r="L48" s="16">
        <f>testdata[[#This Row],[close]]-testdata[[#This Row],[SMA(TW)]]</f>
        <v>5.2210000000000036</v>
      </c>
      <c r="M48"/>
    </row>
    <row r="49" spans="1:13" x14ac:dyDescent="0.25">
      <c r="A49" s="6">
        <v>48</v>
      </c>
      <c r="B49" s="3">
        <v>42807</v>
      </c>
      <c r="C49" s="2">
        <v>224.49</v>
      </c>
      <c r="D49" s="2">
        <v>224.72</v>
      </c>
      <c r="E49" s="2">
        <v>224.13</v>
      </c>
      <c r="F49" s="2">
        <v>224.67</v>
      </c>
      <c r="G49" s="1">
        <v>60604724</v>
      </c>
      <c r="H49" s="8">
        <f t="shared" si="0"/>
        <v>223.47450000000003</v>
      </c>
      <c r="I49" s="19">
        <f t="shared" si="1"/>
        <v>219.76050000000001</v>
      </c>
      <c r="J49" s="8">
        <f>testdata[[#This Row],[SMA(20)]]+0.025*testdata[[#This Row],[SMA(20)]]</f>
        <v>229.06136250000003</v>
      </c>
      <c r="K49" s="8">
        <f>testdata[[#This Row],[SMA(20)]]-0.025*testdata[[#This Row],[SMA(20)]]</f>
        <v>217.88763750000004</v>
      </c>
      <c r="L49" s="16">
        <f>testdata[[#This Row],[close]]-testdata[[#This Row],[SMA(TW)]]</f>
        <v>4.90949999999998</v>
      </c>
      <c r="M49"/>
    </row>
    <row r="50" spans="1:13" x14ac:dyDescent="0.25">
      <c r="A50" s="6">
        <v>49</v>
      </c>
      <c r="B50" s="3">
        <v>42808</v>
      </c>
      <c r="C50" s="2">
        <v>224.08</v>
      </c>
      <c r="D50" s="2">
        <v>224.13</v>
      </c>
      <c r="E50" s="2">
        <v>223.14</v>
      </c>
      <c r="F50" s="2">
        <v>223.81</v>
      </c>
      <c r="G50" s="1">
        <v>63382108</v>
      </c>
      <c r="H50" s="8">
        <f t="shared" si="0"/>
        <v>223.66950000000003</v>
      </c>
      <c r="I50" s="19">
        <f t="shared" si="1"/>
        <v>220.339</v>
      </c>
      <c r="J50" s="8">
        <f>testdata[[#This Row],[SMA(20)]]+0.025*testdata[[#This Row],[SMA(20)]]</f>
        <v>229.26123750000002</v>
      </c>
      <c r="K50" s="8">
        <f>testdata[[#This Row],[SMA(20)]]-0.025*testdata[[#This Row],[SMA(20)]]</f>
        <v>218.07776250000003</v>
      </c>
      <c r="L50" s="16">
        <f>testdata[[#This Row],[close]]-testdata[[#This Row],[SMA(TW)]]</f>
        <v>3.4710000000000036</v>
      </c>
      <c r="M50"/>
    </row>
    <row r="51" spans="1:13" x14ac:dyDescent="0.25">
      <c r="A51" s="6">
        <v>50</v>
      </c>
      <c r="B51" s="3">
        <v>42809</v>
      </c>
      <c r="C51" s="2">
        <v>224.44</v>
      </c>
      <c r="D51" s="2">
        <v>226.21</v>
      </c>
      <c r="E51" s="2">
        <v>224.18</v>
      </c>
      <c r="F51" s="2">
        <v>225.75</v>
      </c>
      <c r="G51" s="1">
        <v>101699816</v>
      </c>
      <c r="H51" s="8">
        <f t="shared" si="0"/>
        <v>223.91750000000002</v>
      </c>
      <c r="I51" s="19">
        <f t="shared" si="1"/>
        <v>220.84199999999996</v>
      </c>
      <c r="J51" s="8">
        <f>testdata[[#This Row],[SMA(20)]]+0.025*testdata[[#This Row],[SMA(20)]]</f>
        <v>229.51543750000002</v>
      </c>
      <c r="K51" s="8">
        <f>testdata[[#This Row],[SMA(20)]]-0.025*testdata[[#This Row],[SMA(20)]]</f>
        <v>218.31956250000002</v>
      </c>
      <c r="L51" s="16">
        <f>testdata[[#This Row],[close]]-testdata[[#This Row],[SMA(TW)]]</f>
        <v>4.9080000000000439</v>
      </c>
      <c r="M51"/>
    </row>
    <row r="52" spans="1:13" x14ac:dyDescent="0.25">
      <c r="A52" s="6">
        <v>51</v>
      </c>
      <c r="B52" s="3">
        <v>42810</v>
      </c>
      <c r="C52" s="2">
        <v>225.9</v>
      </c>
      <c r="D52" s="2">
        <v>225.99</v>
      </c>
      <c r="E52" s="2">
        <v>224.95</v>
      </c>
      <c r="F52" s="2">
        <v>225.31</v>
      </c>
      <c r="G52" s="1">
        <v>82924856</v>
      </c>
      <c r="H52" s="8">
        <f t="shared" si="0"/>
        <v>224.08600000000001</v>
      </c>
      <c r="I52" s="19">
        <f t="shared" si="1"/>
        <v>221.34499999999997</v>
      </c>
      <c r="J52" s="8">
        <f>testdata[[#This Row],[SMA(20)]]+0.025*testdata[[#This Row],[SMA(20)]]</f>
        <v>229.68815000000001</v>
      </c>
      <c r="K52" s="8">
        <f>testdata[[#This Row],[SMA(20)]]-0.025*testdata[[#This Row],[SMA(20)]]</f>
        <v>218.48385000000002</v>
      </c>
      <c r="L52" s="16">
        <f>testdata[[#This Row],[close]]-testdata[[#This Row],[SMA(TW)]]</f>
        <v>3.9650000000000318</v>
      </c>
      <c r="M52"/>
    </row>
    <row r="53" spans="1:13" x14ac:dyDescent="0.25">
      <c r="A53" s="6">
        <v>52</v>
      </c>
      <c r="B53" s="3">
        <v>42811</v>
      </c>
      <c r="C53" s="2">
        <v>225.59</v>
      </c>
      <c r="D53" s="2">
        <v>225.8</v>
      </c>
      <c r="E53" s="2">
        <v>224.91</v>
      </c>
      <c r="F53" s="2">
        <v>224.91</v>
      </c>
      <c r="G53" s="1">
        <v>93798120</v>
      </c>
      <c r="H53" s="8">
        <f t="shared" si="0"/>
        <v>224.244</v>
      </c>
      <c r="I53" s="19">
        <f t="shared" si="1"/>
        <v>221.74050000000003</v>
      </c>
      <c r="J53" s="8">
        <f>testdata[[#This Row],[SMA(20)]]+0.025*testdata[[#This Row],[SMA(20)]]</f>
        <v>229.8501</v>
      </c>
      <c r="K53" s="8">
        <f>testdata[[#This Row],[SMA(20)]]-0.025*testdata[[#This Row],[SMA(20)]]</f>
        <v>218.6379</v>
      </c>
      <c r="L53" s="16">
        <f>testdata[[#This Row],[close]]-testdata[[#This Row],[SMA(TW)]]</f>
        <v>3.1694999999999709</v>
      </c>
      <c r="M53"/>
    </row>
    <row r="54" spans="1:13" x14ac:dyDescent="0.25">
      <c r="A54" s="6">
        <v>53</v>
      </c>
      <c r="B54" s="3">
        <v>42814</v>
      </c>
      <c r="C54" s="2">
        <v>224.91</v>
      </c>
      <c r="D54" s="2">
        <v>225.22</v>
      </c>
      <c r="E54" s="2">
        <v>224.24</v>
      </c>
      <c r="F54" s="2">
        <v>224.66</v>
      </c>
      <c r="G54" s="1">
        <v>55368008</v>
      </c>
      <c r="H54" s="8">
        <f t="shared" si="0"/>
        <v>224.37199999999999</v>
      </c>
      <c r="I54" s="19">
        <f t="shared" si="1"/>
        <v>222.12199999999999</v>
      </c>
      <c r="J54" s="8">
        <f>testdata[[#This Row],[SMA(20)]]+0.025*testdata[[#This Row],[SMA(20)]]</f>
        <v>229.98129999999998</v>
      </c>
      <c r="K54" s="8">
        <f>testdata[[#This Row],[SMA(20)]]-0.025*testdata[[#This Row],[SMA(20)]]</f>
        <v>218.7627</v>
      </c>
      <c r="L54" s="16">
        <f>testdata[[#This Row],[close]]-testdata[[#This Row],[SMA(TW)]]</f>
        <v>2.5380000000000109</v>
      </c>
      <c r="M54"/>
    </row>
    <row r="55" spans="1:13" x14ac:dyDescent="0.25">
      <c r="A55" s="6">
        <v>54</v>
      </c>
      <c r="B55" s="3">
        <v>42815</v>
      </c>
      <c r="C55" s="2">
        <v>225.33</v>
      </c>
      <c r="D55" s="2">
        <v>225.46</v>
      </c>
      <c r="E55" s="2">
        <v>221.64</v>
      </c>
      <c r="F55" s="2">
        <v>221.78</v>
      </c>
      <c r="G55" s="1">
        <v>138912016</v>
      </c>
      <c r="H55" s="8">
        <f t="shared" si="0"/>
        <v>224.28949999999995</v>
      </c>
      <c r="I55" s="19">
        <f t="shared" si="1"/>
        <v>222.48199999999997</v>
      </c>
      <c r="J55" s="8">
        <f>testdata[[#This Row],[SMA(20)]]+0.025*testdata[[#This Row],[SMA(20)]]</f>
        <v>229.89673749999994</v>
      </c>
      <c r="K55" s="8">
        <f>testdata[[#This Row],[SMA(20)]]-0.025*testdata[[#This Row],[SMA(20)]]</f>
        <v>218.68226249999995</v>
      </c>
      <c r="L55" s="16">
        <f>testdata[[#This Row],[close]]-testdata[[#This Row],[SMA(TW)]]</f>
        <v>-0.70199999999996976</v>
      </c>
      <c r="M55"/>
    </row>
    <row r="56" spans="1:13" x14ac:dyDescent="0.25">
      <c r="A56" s="6">
        <v>55</v>
      </c>
      <c r="B56" s="3">
        <v>42816</v>
      </c>
      <c r="C56" s="2">
        <v>221.82</v>
      </c>
      <c r="D56" s="2">
        <v>222.61</v>
      </c>
      <c r="E56" s="2">
        <v>221.13</v>
      </c>
      <c r="F56" s="2">
        <v>222.3</v>
      </c>
      <c r="G56" s="1">
        <v>102826864</v>
      </c>
      <c r="H56" s="8">
        <f t="shared" si="0"/>
        <v>224.24299999999999</v>
      </c>
      <c r="I56" s="19">
        <f t="shared" si="1"/>
        <v>222.84199999999996</v>
      </c>
      <c r="J56" s="8">
        <f>testdata[[#This Row],[SMA(20)]]+0.025*testdata[[#This Row],[SMA(20)]]</f>
        <v>229.849075</v>
      </c>
      <c r="K56" s="8">
        <f>testdata[[#This Row],[SMA(20)]]-0.025*testdata[[#This Row],[SMA(20)]]</f>
        <v>218.63692499999999</v>
      </c>
      <c r="L56" s="16">
        <f>testdata[[#This Row],[close]]-testdata[[#This Row],[SMA(TW)]]</f>
        <v>-0.54199999999994475</v>
      </c>
      <c r="M56"/>
    </row>
    <row r="57" spans="1:13" x14ac:dyDescent="0.25">
      <c r="A57" s="6">
        <v>56</v>
      </c>
      <c r="B57" s="3">
        <v>42817</v>
      </c>
      <c r="C57" s="2">
        <v>222.04</v>
      </c>
      <c r="D57" s="2">
        <v>223.31</v>
      </c>
      <c r="E57" s="2">
        <v>221.66</v>
      </c>
      <c r="F57" s="2">
        <v>222.06</v>
      </c>
      <c r="G57" s="1">
        <v>105821032</v>
      </c>
      <c r="H57" s="8">
        <f t="shared" si="0"/>
        <v>224.17699999999999</v>
      </c>
      <c r="I57" s="19">
        <f t="shared" si="1"/>
        <v>223.17699999999999</v>
      </c>
      <c r="J57" s="8">
        <f>testdata[[#This Row],[SMA(20)]]+0.025*testdata[[#This Row],[SMA(20)]]</f>
        <v>229.78142499999998</v>
      </c>
      <c r="K57" s="8">
        <f>testdata[[#This Row],[SMA(20)]]-0.025*testdata[[#This Row],[SMA(20)]]</f>
        <v>218.572575</v>
      </c>
      <c r="L57" s="16">
        <f>testdata[[#This Row],[close]]-testdata[[#This Row],[SMA(TW)]]</f>
        <v>-1.1169999999999902</v>
      </c>
      <c r="M57"/>
    </row>
    <row r="58" spans="1:13" x14ac:dyDescent="0.25">
      <c r="A58" s="6">
        <v>57</v>
      </c>
      <c r="B58" s="3">
        <v>42818</v>
      </c>
      <c r="C58" s="2">
        <v>222.4</v>
      </c>
      <c r="D58" s="2">
        <v>223.02</v>
      </c>
      <c r="E58" s="2">
        <v>221.05</v>
      </c>
      <c r="F58" s="2">
        <v>221.9</v>
      </c>
      <c r="G58" s="1">
        <v>118567344</v>
      </c>
      <c r="H58" s="8">
        <f t="shared" si="0"/>
        <v>224.089</v>
      </c>
      <c r="I58" s="19">
        <f t="shared" si="1"/>
        <v>223.47450000000003</v>
      </c>
      <c r="J58" s="8">
        <f>testdata[[#This Row],[SMA(20)]]+0.025*testdata[[#This Row],[SMA(20)]]</f>
        <v>229.691225</v>
      </c>
      <c r="K58" s="8">
        <f>testdata[[#This Row],[SMA(20)]]-0.025*testdata[[#This Row],[SMA(20)]]</f>
        <v>218.48677499999999</v>
      </c>
      <c r="L58" s="16">
        <f>testdata[[#This Row],[close]]-testdata[[#This Row],[SMA(TW)]]</f>
        <v>-1.5745000000000289</v>
      </c>
      <c r="M58"/>
    </row>
    <row r="59" spans="1:13" x14ac:dyDescent="0.25">
      <c r="A59" s="6">
        <v>58</v>
      </c>
      <c r="B59" s="3">
        <v>42821</v>
      </c>
      <c r="C59" s="2">
        <v>220.07</v>
      </c>
      <c r="D59" s="2">
        <v>221.96</v>
      </c>
      <c r="E59" s="2">
        <v>219.77</v>
      </c>
      <c r="F59" s="2">
        <v>221.67</v>
      </c>
      <c r="G59" s="1">
        <v>92167056</v>
      </c>
      <c r="H59" s="8">
        <f t="shared" si="0"/>
        <v>223.97199999999998</v>
      </c>
      <c r="I59" s="19">
        <f t="shared" si="1"/>
        <v>223.66950000000003</v>
      </c>
      <c r="J59" s="8">
        <f>testdata[[#This Row],[SMA(20)]]+0.025*testdata[[#This Row],[SMA(20)]]</f>
        <v>229.57129999999998</v>
      </c>
      <c r="K59" s="8">
        <f>testdata[[#This Row],[SMA(20)]]-0.025*testdata[[#This Row],[SMA(20)]]</f>
        <v>218.37269999999998</v>
      </c>
      <c r="L59" s="16">
        <f>testdata[[#This Row],[close]]-testdata[[#This Row],[SMA(TW)]]</f>
        <v>-1.9995000000000402</v>
      </c>
      <c r="M59"/>
    </row>
    <row r="60" spans="1:13" x14ac:dyDescent="0.25">
      <c r="A60" s="6">
        <v>59</v>
      </c>
      <c r="B60" s="3">
        <v>42822</v>
      </c>
      <c r="C60" s="2">
        <v>221.34</v>
      </c>
      <c r="D60" s="2">
        <v>223.75</v>
      </c>
      <c r="E60" s="2">
        <v>221.22</v>
      </c>
      <c r="F60" s="2">
        <v>223.29</v>
      </c>
      <c r="G60" s="1">
        <v>98521432</v>
      </c>
      <c r="H60" s="8">
        <f t="shared" si="0"/>
        <v>223.96599999999998</v>
      </c>
      <c r="I60" s="19">
        <f t="shared" si="1"/>
        <v>223.91750000000002</v>
      </c>
      <c r="J60" s="8">
        <f>testdata[[#This Row],[SMA(20)]]+0.025*testdata[[#This Row],[SMA(20)]]</f>
        <v>229.56514999999999</v>
      </c>
      <c r="K60" s="8">
        <f>testdata[[#This Row],[SMA(20)]]-0.025*testdata[[#This Row],[SMA(20)]]</f>
        <v>218.36684999999997</v>
      </c>
      <c r="L60" s="16">
        <f>testdata[[#This Row],[close]]-testdata[[#This Row],[SMA(TW)]]</f>
        <v>-0.62750000000002615</v>
      </c>
      <c r="M60"/>
    </row>
    <row r="61" spans="1:13" x14ac:dyDescent="0.25">
      <c r="A61" s="6">
        <v>60</v>
      </c>
      <c r="B61" s="3">
        <v>42823</v>
      </c>
      <c r="C61" s="2">
        <v>222.97</v>
      </c>
      <c r="D61" s="2">
        <v>223.75</v>
      </c>
      <c r="E61" s="2">
        <v>222.72</v>
      </c>
      <c r="F61" s="2">
        <v>223.5</v>
      </c>
      <c r="G61" s="1">
        <v>65288636</v>
      </c>
      <c r="H61" s="8">
        <f t="shared" si="0"/>
        <v>223.81450000000001</v>
      </c>
      <c r="I61" s="19">
        <f t="shared" si="1"/>
        <v>224.08600000000001</v>
      </c>
      <c r="J61" s="8">
        <f>testdata[[#This Row],[SMA(20)]]+0.025*testdata[[#This Row],[SMA(20)]]</f>
        <v>229.4098625</v>
      </c>
      <c r="K61" s="8">
        <f>testdata[[#This Row],[SMA(20)]]-0.025*testdata[[#This Row],[SMA(20)]]</f>
        <v>218.21913750000002</v>
      </c>
      <c r="L61" s="16">
        <f>testdata[[#This Row],[close]]-testdata[[#This Row],[SMA(TW)]]</f>
        <v>-0.58600000000001273</v>
      </c>
      <c r="M61"/>
    </row>
    <row r="62" spans="1:13" x14ac:dyDescent="0.25">
      <c r="A62" s="6">
        <v>61</v>
      </c>
      <c r="B62" s="3">
        <v>42824</v>
      </c>
      <c r="C62" s="2">
        <v>223.43</v>
      </c>
      <c r="D62" s="2">
        <v>224.43</v>
      </c>
      <c r="E62" s="2">
        <v>223.24</v>
      </c>
      <c r="F62" s="2">
        <v>224.21</v>
      </c>
      <c r="G62" s="1">
        <v>59795288</v>
      </c>
      <c r="H62" s="8">
        <f t="shared" si="0"/>
        <v>223.76950000000002</v>
      </c>
      <c r="I62" s="19">
        <f t="shared" si="1"/>
        <v>224.244</v>
      </c>
      <c r="J62" s="8">
        <f>testdata[[#This Row],[SMA(20)]]+0.025*testdata[[#This Row],[SMA(20)]]</f>
        <v>229.36373750000001</v>
      </c>
      <c r="K62" s="8">
        <f>testdata[[#This Row],[SMA(20)]]-0.025*testdata[[#This Row],[SMA(20)]]</f>
        <v>218.17526250000003</v>
      </c>
      <c r="L62" s="16">
        <f>testdata[[#This Row],[close]]-testdata[[#This Row],[SMA(TW)]]</f>
        <v>-3.3999999999991815E-2</v>
      </c>
      <c r="M62"/>
    </row>
    <row r="63" spans="1:13" x14ac:dyDescent="0.25">
      <c r="A63" s="6">
        <v>62</v>
      </c>
      <c r="B63" s="3">
        <v>42825</v>
      </c>
      <c r="C63" s="2">
        <v>223.84</v>
      </c>
      <c r="D63" s="2">
        <v>224.42</v>
      </c>
      <c r="E63" s="2">
        <v>223.63</v>
      </c>
      <c r="F63" s="2">
        <v>223.69</v>
      </c>
      <c r="G63" s="1">
        <v>77706304</v>
      </c>
      <c r="H63" s="8">
        <f t="shared" si="0"/>
        <v>223.69149999999999</v>
      </c>
      <c r="I63" s="19">
        <f t="shared" si="1"/>
        <v>224.37199999999999</v>
      </c>
      <c r="J63" s="8">
        <f>testdata[[#This Row],[SMA(20)]]+0.025*testdata[[#This Row],[SMA(20)]]</f>
        <v>229.28378749999999</v>
      </c>
      <c r="K63" s="8">
        <f>testdata[[#This Row],[SMA(20)]]-0.025*testdata[[#This Row],[SMA(20)]]</f>
        <v>218.09921249999999</v>
      </c>
      <c r="L63" s="16">
        <f>testdata[[#This Row],[close]]-testdata[[#This Row],[SMA(TW)]]</f>
        <v>-0.68199999999998795</v>
      </c>
      <c r="M63"/>
    </row>
    <row r="64" spans="1:13" x14ac:dyDescent="0.25">
      <c r="A64" s="6">
        <v>63</v>
      </c>
      <c r="B64" s="3">
        <v>42828</v>
      </c>
      <c r="C64" s="2">
        <v>223.74</v>
      </c>
      <c r="D64" s="2">
        <v>223.96</v>
      </c>
      <c r="E64" s="2">
        <v>221.95</v>
      </c>
      <c r="F64" s="2">
        <v>223.3</v>
      </c>
      <c r="G64" s="1">
        <v>90156280</v>
      </c>
      <c r="H64" s="8">
        <f t="shared" si="0"/>
        <v>223.6275</v>
      </c>
      <c r="I64" s="19">
        <f t="shared" si="1"/>
        <v>224.28949999999995</v>
      </c>
      <c r="J64" s="8">
        <f>testdata[[#This Row],[SMA(20)]]+0.025*testdata[[#This Row],[SMA(20)]]</f>
        <v>229.2181875</v>
      </c>
      <c r="K64" s="8">
        <f>testdata[[#This Row],[SMA(20)]]-0.025*testdata[[#This Row],[SMA(20)]]</f>
        <v>218.0368125</v>
      </c>
      <c r="L64" s="16">
        <f>testdata[[#This Row],[close]]-testdata[[#This Row],[SMA(TW)]]</f>
        <v>-0.98949999999993565</v>
      </c>
      <c r="M64"/>
    </row>
    <row r="65" spans="1:13" x14ac:dyDescent="0.25">
      <c r="A65" s="6">
        <v>64</v>
      </c>
      <c r="B65" s="3">
        <v>42829</v>
      </c>
      <c r="C65" s="2">
        <v>222.98</v>
      </c>
      <c r="D65" s="2">
        <v>223.53</v>
      </c>
      <c r="E65" s="2">
        <v>222.56</v>
      </c>
      <c r="F65" s="2">
        <v>223.44</v>
      </c>
      <c r="G65" s="1">
        <v>59508952</v>
      </c>
      <c r="H65" s="8">
        <f t="shared" si="0"/>
        <v>223.60399999999998</v>
      </c>
      <c r="I65" s="19">
        <f t="shared" si="1"/>
        <v>224.24299999999999</v>
      </c>
      <c r="J65" s="8">
        <f>testdata[[#This Row],[SMA(20)]]+0.025*testdata[[#This Row],[SMA(20)]]</f>
        <v>229.19409999999999</v>
      </c>
      <c r="K65" s="8">
        <f>testdata[[#This Row],[SMA(20)]]-0.025*testdata[[#This Row],[SMA(20)]]</f>
        <v>218.01389999999998</v>
      </c>
      <c r="L65" s="16">
        <f>testdata[[#This Row],[close]]-testdata[[#This Row],[SMA(TW)]]</f>
        <v>-0.80299999999999727</v>
      </c>
      <c r="M65"/>
    </row>
    <row r="66" spans="1:13" x14ac:dyDescent="0.25">
      <c r="A66" s="6">
        <v>65</v>
      </c>
      <c r="B66" s="3">
        <v>42830</v>
      </c>
      <c r="C66" s="2">
        <v>224.18</v>
      </c>
      <c r="D66" s="2">
        <v>225.25</v>
      </c>
      <c r="E66" s="2">
        <v>222.55</v>
      </c>
      <c r="F66" s="2">
        <v>222.78</v>
      </c>
      <c r="G66" s="1">
        <v>114663488</v>
      </c>
      <c r="H66" s="8">
        <f t="shared" si="0"/>
        <v>223.5685</v>
      </c>
      <c r="I66" s="19">
        <f t="shared" si="1"/>
        <v>224.17699999999999</v>
      </c>
      <c r="J66" s="8">
        <f>testdata[[#This Row],[SMA(20)]]+0.025*testdata[[#This Row],[SMA(20)]]</f>
        <v>229.1577125</v>
      </c>
      <c r="K66" s="8">
        <f>testdata[[#This Row],[SMA(20)]]-0.025*testdata[[#This Row],[SMA(20)]]</f>
        <v>217.9792875</v>
      </c>
      <c r="L66" s="16">
        <f>testdata[[#This Row],[close]]-testdata[[#This Row],[SMA(TW)]]</f>
        <v>-1.3969999999999914</v>
      </c>
      <c r="M66"/>
    </row>
    <row r="67" spans="1:13" x14ac:dyDescent="0.25">
      <c r="A67" s="6">
        <v>66</v>
      </c>
      <c r="B67" s="3">
        <v>42831</v>
      </c>
      <c r="C67" s="2">
        <v>222.93</v>
      </c>
      <c r="D67" s="2">
        <v>223.97</v>
      </c>
      <c r="E67" s="2">
        <v>222.44</v>
      </c>
      <c r="F67" s="2">
        <v>223.4</v>
      </c>
      <c r="G67" s="1">
        <v>72861232</v>
      </c>
      <c r="H67" s="8">
        <f t="shared" si="0"/>
        <v>223.54949999999999</v>
      </c>
      <c r="I67" s="19">
        <f t="shared" si="1"/>
        <v>224.089</v>
      </c>
      <c r="J67" s="8">
        <f>testdata[[#This Row],[SMA(20)]]+0.025*testdata[[#This Row],[SMA(20)]]</f>
        <v>229.1382375</v>
      </c>
      <c r="K67" s="8">
        <f>testdata[[#This Row],[SMA(20)]]-0.025*testdata[[#This Row],[SMA(20)]]</f>
        <v>217.96076249999999</v>
      </c>
      <c r="L67" s="16">
        <f>testdata[[#This Row],[close]]-testdata[[#This Row],[SMA(TW)]]</f>
        <v>-0.68899999999999295</v>
      </c>
      <c r="M67"/>
    </row>
    <row r="68" spans="1:13" x14ac:dyDescent="0.25">
      <c r="A68" s="6">
        <v>67</v>
      </c>
      <c r="B68" s="3">
        <v>42832</v>
      </c>
      <c r="C68" s="2">
        <v>223.13</v>
      </c>
      <c r="D68" s="2">
        <v>223.93</v>
      </c>
      <c r="E68" s="2">
        <v>222.64</v>
      </c>
      <c r="F68" s="2">
        <v>223.17</v>
      </c>
      <c r="G68" s="1">
        <v>78422128</v>
      </c>
      <c r="H68" s="8">
        <f t="shared" si="0"/>
        <v>223.48000000000002</v>
      </c>
      <c r="I68" s="19">
        <f t="shared" si="1"/>
        <v>223.97199999999998</v>
      </c>
      <c r="J68" s="8">
        <f>testdata[[#This Row],[SMA(20)]]+0.025*testdata[[#This Row],[SMA(20)]]</f>
        <v>229.06700000000001</v>
      </c>
      <c r="K68" s="8">
        <f>testdata[[#This Row],[SMA(20)]]-0.025*testdata[[#This Row],[SMA(20)]]</f>
        <v>217.89300000000003</v>
      </c>
      <c r="L68" s="16">
        <f>testdata[[#This Row],[close]]-testdata[[#This Row],[SMA(TW)]]</f>
        <v>-0.8019999999999925</v>
      </c>
      <c r="M68"/>
    </row>
    <row r="69" spans="1:13" x14ac:dyDescent="0.25">
      <c r="A69" s="6">
        <v>68</v>
      </c>
      <c r="B69" s="3">
        <v>42835</v>
      </c>
      <c r="C69" s="2">
        <v>223.33</v>
      </c>
      <c r="D69" s="2">
        <v>224.18</v>
      </c>
      <c r="E69" s="2">
        <v>222.73</v>
      </c>
      <c r="F69" s="2">
        <v>223.31</v>
      </c>
      <c r="G69" s="1">
        <v>71258848</v>
      </c>
      <c r="H69" s="8">
        <f t="shared" si="0"/>
        <v>223.41200000000003</v>
      </c>
      <c r="I69" s="19">
        <f t="shared" si="1"/>
        <v>223.96599999999998</v>
      </c>
      <c r="J69" s="8">
        <f>testdata[[#This Row],[SMA(20)]]+0.025*testdata[[#This Row],[SMA(20)]]</f>
        <v>228.99730000000002</v>
      </c>
      <c r="K69" s="8">
        <f>testdata[[#This Row],[SMA(20)]]-0.025*testdata[[#This Row],[SMA(20)]]</f>
        <v>217.82670000000005</v>
      </c>
      <c r="L69" s="16">
        <f>testdata[[#This Row],[close]]-testdata[[#This Row],[SMA(TW)]]</f>
        <v>-0.65599999999997749</v>
      </c>
      <c r="M69"/>
    </row>
    <row r="70" spans="1:13" x14ac:dyDescent="0.25">
      <c r="A70" s="6">
        <v>69</v>
      </c>
      <c r="B70" s="3">
        <v>42836</v>
      </c>
      <c r="C70" s="2">
        <v>222.89</v>
      </c>
      <c r="D70" s="2">
        <v>223.15</v>
      </c>
      <c r="E70" s="2">
        <v>221.41</v>
      </c>
      <c r="F70" s="2">
        <v>223.04</v>
      </c>
      <c r="G70" s="1">
        <v>92789720</v>
      </c>
      <c r="H70" s="8">
        <f t="shared" si="0"/>
        <v>223.37350000000006</v>
      </c>
      <c r="I70" s="19">
        <f t="shared" si="1"/>
        <v>223.81450000000001</v>
      </c>
      <c r="J70" s="8">
        <f>testdata[[#This Row],[SMA(20)]]+0.025*testdata[[#This Row],[SMA(20)]]</f>
        <v>228.95783750000007</v>
      </c>
      <c r="K70" s="8">
        <f>testdata[[#This Row],[SMA(20)]]-0.025*testdata[[#This Row],[SMA(20)]]</f>
        <v>217.78916250000006</v>
      </c>
      <c r="L70" s="16">
        <f>testdata[[#This Row],[close]]-testdata[[#This Row],[SMA(TW)]]</f>
        <v>-0.77450000000001751</v>
      </c>
      <c r="M70"/>
    </row>
    <row r="71" spans="1:13" x14ac:dyDescent="0.25">
      <c r="A71" s="6">
        <v>70</v>
      </c>
      <c r="B71" s="3">
        <v>42837</v>
      </c>
      <c r="C71" s="2">
        <v>222.74</v>
      </c>
      <c r="D71" s="2">
        <v>222.95</v>
      </c>
      <c r="E71" s="2">
        <v>221.82</v>
      </c>
      <c r="F71" s="2">
        <v>222.06</v>
      </c>
      <c r="G71" s="1">
        <v>86275816</v>
      </c>
      <c r="H71" s="8">
        <f t="shared" si="0"/>
        <v>223.18900000000008</v>
      </c>
      <c r="I71" s="19">
        <f t="shared" si="1"/>
        <v>223.76950000000002</v>
      </c>
      <c r="J71" s="8">
        <f>testdata[[#This Row],[SMA(20)]]+0.025*testdata[[#This Row],[SMA(20)]]</f>
        <v>228.76872500000007</v>
      </c>
      <c r="K71" s="8">
        <f>testdata[[#This Row],[SMA(20)]]-0.025*testdata[[#This Row],[SMA(20)]]</f>
        <v>217.60927500000008</v>
      </c>
      <c r="L71" s="16">
        <f>testdata[[#This Row],[close]]-testdata[[#This Row],[SMA(TW)]]</f>
        <v>-1.7095000000000198</v>
      </c>
      <c r="M71"/>
    </row>
    <row r="72" spans="1:13" x14ac:dyDescent="0.25">
      <c r="A72" s="6">
        <v>71</v>
      </c>
      <c r="B72" s="3">
        <v>42838</v>
      </c>
      <c r="C72" s="2">
        <v>221.69</v>
      </c>
      <c r="D72" s="2">
        <v>222.5</v>
      </c>
      <c r="E72" s="2">
        <v>220.62</v>
      </c>
      <c r="F72" s="2">
        <v>220.62</v>
      </c>
      <c r="G72" s="1">
        <v>97885392</v>
      </c>
      <c r="H72" s="8">
        <f t="shared" si="0"/>
        <v>222.95450000000005</v>
      </c>
      <c r="I72" s="19">
        <f t="shared" si="1"/>
        <v>223.69149999999999</v>
      </c>
      <c r="J72" s="8">
        <f>testdata[[#This Row],[SMA(20)]]+0.025*testdata[[#This Row],[SMA(20)]]</f>
        <v>228.52836250000004</v>
      </c>
      <c r="K72" s="8">
        <f>testdata[[#This Row],[SMA(20)]]-0.025*testdata[[#This Row],[SMA(20)]]</f>
        <v>217.38063750000006</v>
      </c>
      <c r="L72" s="16">
        <f>testdata[[#This Row],[close]]-testdata[[#This Row],[SMA(TW)]]</f>
        <v>-3.0714999999999861</v>
      </c>
      <c r="M72"/>
    </row>
    <row r="73" spans="1:13" x14ac:dyDescent="0.25">
      <c r="A73" s="6">
        <v>72</v>
      </c>
      <c r="B73" s="3">
        <v>42842</v>
      </c>
      <c r="C73" s="2">
        <v>221.19</v>
      </c>
      <c r="D73" s="2">
        <v>222.58</v>
      </c>
      <c r="E73" s="2">
        <v>220.97</v>
      </c>
      <c r="F73" s="2">
        <v>222.58</v>
      </c>
      <c r="G73" s="1">
        <v>72091488</v>
      </c>
      <c r="H73" s="8">
        <f t="shared" si="0"/>
        <v>222.83800000000002</v>
      </c>
      <c r="I73" s="19">
        <f t="shared" si="1"/>
        <v>223.6275</v>
      </c>
      <c r="J73" s="8">
        <f>testdata[[#This Row],[SMA(20)]]+0.025*testdata[[#This Row],[SMA(20)]]</f>
        <v>228.40895000000003</v>
      </c>
      <c r="K73" s="8">
        <f>testdata[[#This Row],[SMA(20)]]-0.025*testdata[[#This Row],[SMA(20)]]</f>
        <v>217.26705000000001</v>
      </c>
      <c r="L73" s="16">
        <f>testdata[[#This Row],[close]]-testdata[[#This Row],[SMA(TW)]]</f>
        <v>-1.0474999999999852</v>
      </c>
      <c r="M73"/>
    </row>
    <row r="74" spans="1:13" x14ac:dyDescent="0.25">
      <c r="A74" s="6">
        <v>73</v>
      </c>
      <c r="B74" s="3">
        <v>42843</v>
      </c>
      <c r="C74" s="2">
        <v>221.77</v>
      </c>
      <c r="D74" s="2">
        <v>222.5</v>
      </c>
      <c r="E74" s="2">
        <v>221.16</v>
      </c>
      <c r="F74" s="2">
        <v>221.91</v>
      </c>
      <c r="G74" s="1">
        <v>87710560</v>
      </c>
      <c r="H74" s="8">
        <f t="shared" si="0"/>
        <v>222.70050000000001</v>
      </c>
      <c r="I74" s="19">
        <f t="shared" si="1"/>
        <v>223.60399999999998</v>
      </c>
      <c r="J74" s="8">
        <f>testdata[[#This Row],[SMA(20)]]+0.025*testdata[[#This Row],[SMA(20)]]</f>
        <v>228.2680125</v>
      </c>
      <c r="K74" s="8">
        <f>testdata[[#This Row],[SMA(20)]]-0.025*testdata[[#This Row],[SMA(20)]]</f>
        <v>217.13298750000001</v>
      </c>
      <c r="L74" s="16">
        <f>testdata[[#This Row],[close]]-testdata[[#This Row],[SMA(TW)]]</f>
        <v>-1.6939999999999884</v>
      </c>
      <c r="M74"/>
    </row>
    <row r="75" spans="1:13" x14ac:dyDescent="0.25">
      <c r="A75" s="6">
        <v>74</v>
      </c>
      <c r="B75" s="3">
        <v>42844</v>
      </c>
      <c r="C75" s="2">
        <v>222.53</v>
      </c>
      <c r="D75" s="2">
        <v>222.94</v>
      </c>
      <c r="E75" s="2">
        <v>221.26</v>
      </c>
      <c r="F75" s="2">
        <v>221.5</v>
      </c>
      <c r="G75" s="1">
        <v>72401856</v>
      </c>
      <c r="H75" s="8">
        <f t="shared" si="0"/>
        <v>222.68650000000002</v>
      </c>
      <c r="I75" s="19">
        <f t="shared" si="1"/>
        <v>223.5685</v>
      </c>
      <c r="J75" s="8">
        <f>testdata[[#This Row],[SMA(20)]]+0.025*testdata[[#This Row],[SMA(20)]]</f>
        <v>228.25366250000002</v>
      </c>
      <c r="K75" s="8">
        <f>testdata[[#This Row],[SMA(20)]]-0.025*testdata[[#This Row],[SMA(20)]]</f>
        <v>217.11933750000003</v>
      </c>
      <c r="L75" s="16">
        <f>testdata[[#This Row],[close]]-testdata[[#This Row],[SMA(TW)]]</f>
        <v>-2.0685000000000002</v>
      </c>
      <c r="M75"/>
    </row>
    <row r="76" spans="1:13" x14ac:dyDescent="0.25">
      <c r="A76" s="6">
        <v>75</v>
      </c>
      <c r="B76" s="3">
        <v>42845</v>
      </c>
      <c r="C76" s="2">
        <v>222.18</v>
      </c>
      <c r="D76" s="2">
        <v>223.79</v>
      </c>
      <c r="E76" s="2">
        <v>221.83</v>
      </c>
      <c r="F76" s="2">
        <v>223.31</v>
      </c>
      <c r="G76" s="1">
        <v>97560568</v>
      </c>
      <c r="H76" s="8">
        <f t="shared" si="0"/>
        <v>222.73700000000002</v>
      </c>
      <c r="I76" s="19">
        <f t="shared" si="1"/>
        <v>223.54949999999999</v>
      </c>
      <c r="J76" s="8">
        <f>testdata[[#This Row],[SMA(20)]]+0.025*testdata[[#This Row],[SMA(20)]]</f>
        <v>228.30542500000001</v>
      </c>
      <c r="K76" s="8">
        <f>testdata[[#This Row],[SMA(20)]]-0.025*testdata[[#This Row],[SMA(20)]]</f>
        <v>217.16857500000003</v>
      </c>
      <c r="L76" s="16">
        <f>testdata[[#This Row],[close]]-testdata[[#This Row],[SMA(TW)]]</f>
        <v>-0.2394999999999925</v>
      </c>
      <c r="M76"/>
    </row>
    <row r="77" spans="1:13" x14ac:dyDescent="0.25">
      <c r="A77" s="6">
        <v>76</v>
      </c>
      <c r="B77" s="3">
        <v>42846</v>
      </c>
      <c r="C77" s="2">
        <v>223.22</v>
      </c>
      <c r="D77" s="2">
        <v>223.28</v>
      </c>
      <c r="E77" s="2">
        <v>222.16</v>
      </c>
      <c r="F77" s="2">
        <v>222.6</v>
      </c>
      <c r="G77" s="1">
        <v>116338368</v>
      </c>
      <c r="H77" s="8">
        <f t="shared" si="0"/>
        <v>222.76399999999998</v>
      </c>
      <c r="I77" s="19">
        <f t="shared" si="1"/>
        <v>223.48000000000002</v>
      </c>
      <c r="J77" s="8">
        <f>testdata[[#This Row],[SMA(20)]]+0.025*testdata[[#This Row],[SMA(20)]]</f>
        <v>228.33309999999997</v>
      </c>
      <c r="K77" s="8">
        <f>testdata[[#This Row],[SMA(20)]]-0.025*testdata[[#This Row],[SMA(20)]]</f>
        <v>217.19489999999999</v>
      </c>
      <c r="L77" s="16">
        <f>testdata[[#This Row],[close]]-testdata[[#This Row],[SMA(TW)]]</f>
        <v>-0.88000000000002387</v>
      </c>
      <c r="M77"/>
    </row>
    <row r="78" spans="1:13" x14ac:dyDescent="0.25">
      <c r="A78" s="6">
        <v>77</v>
      </c>
      <c r="B78" s="3">
        <v>42849</v>
      </c>
      <c r="C78" s="2">
        <v>225.05</v>
      </c>
      <c r="D78" s="2">
        <v>225.27</v>
      </c>
      <c r="E78" s="2">
        <v>222.57</v>
      </c>
      <c r="F78" s="2">
        <v>225.04</v>
      </c>
      <c r="G78" s="1">
        <v>125633672</v>
      </c>
      <c r="H78" s="8">
        <f t="shared" si="0"/>
        <v>222.92099999999999</v>
      </c>
      <c r="I78" s="19">
        <f t="shared" si="1"/>
        <v>223.41200000000003</v>
      </c>
      <c r="J78" s="8">
        <f>testdata[[#This Row],[SMA(20)]]+0.025*testdata[[#This Row],[SMA(20)]]</f>
        <v>228.49402499999999</v>
      </c>
      <c r="K78" s="8">
        <f>testdata[[#This Row],[SMA(20)]]-0.025*testdata[[#This Row],[SMA(20)]]</f>
        <v>217.34797499999999</v>
      </c>
      <c r="L78" s="16">
        <f>testdata[[#This Row],[close]]-testdata[[#This Row],[SMA(TW)]]</f>
        <v>1.6279999999999575</v>
      </c>
      <c r="M78"/>
    </row>
    <row r="79" spans="1:13" x14ac:dyDescent="0.25">
      <c r="A79" s="6">
        <v>78</v>
      </c>
      <c r="B79" s="3">
        <v>42850</v>
      </c>
      <c r="C79" s="2">
        <v>225.75</v>
      </c>
      <c r="D79" s="2">
        <v>226.73</v>
      </c>
      <c r="E79" s="2">
        <v>225.65</v>
      </c>
      <c r="F79" s="2">
        <v>226.35</v>
      </c>
      <c r="G79" s="1">
        <v>80831256</v>
      </c>
      <c r="H79" s="8">
        <f t="shared" si="0"/>
        <v>223.15500000000003</v>
      </c>
      <c r="I79" s="19">
        <f t="shared" si="1"/>
        <v>223.37350000000006</v>
      </c>
      <c r="J79" s="8">
        <f>testdata[[#This Row],[SMA(20)]]+0.025*testdata[[#This Row],[SMA(20)]]</f>
        <v>228.73387500000004</v>
      </c>
      <c r="K79" s="8">
        <f>testdata[[#This Row],[SMA(20)]]-0.025*testdata[[#This Row],[SMA(20)]]</f>
        <v>217.57612500000002</v>
      </c>
      <c r="L79" s="16">
        <f>testdata[[#This Row],[close]]-testdata[[#This Row],[SMA(TW)]]</f>
        <v>2.9764999999999304</v>
      </c>
      <c r="M79"/>
    </row>
    <row r="80" spans="1:13" x14ac:dyDescent="0.25">
      <c r="A80" s="6">
        <v>79</v>
      </c>
      <c r="B80" s="3">
        <v>42851</v>
      </c>
      <c r="C80" s="2">
        <v>226.31</v>
      </c>
      <c r="D80" s="2">
        <v>227.28</v>
      </c>
      <c r="E80" s="2">
        <v>226.16</v>
      </c>
      <c r="F80" s="2">
        <v>226.21</v>
      </c>
      <c r="G80" s="1">
        <v>89266768</v>
      </c>
      <c r="H80" s="8">
        <f t="shared" si="0"/>
        <v>223.30099999999999</v>
      </c>
      <c r="I80" s="19">
        <f t="shared" si="1"/>
        <v>223.18900000000008</v>
      </c>
      <c r="J80" s="8">
        <f>testdata[[#This Row],[SMA(20)]]+0.025*testdata[[#This Row],[SMA(20)]]</f>
        <v>228.88352499999999</v>
      </c>
      <c r="K80" s="8">
        <f>testdata[[#This Row],[SMA(20)]]-0.025*testdata[[#This Row],[SMA(20)]]</f>
        <v>217.71847499999998</v>
      </c>
      <c r="L80" s="16">
        <f>testdata[[#This Row],[close]]-testdata[[#This Row],[SMA(TW)]]</f>
        <v>3.0209999999999297</v>
      </c>
      <c r="M80"/>
    </row>
    <row r="81" spans="1:13" x14ac:dyDescent="0.25">
      <c r="A81" s="6">
        <v>80</v>
      </c>
      <c r="B81" s="3">
        <v>42852</v>
      </c>
      <c r="C81" s="2">
        <v>226.56</v>
      </c>
      <c r="D81" s="2">
        <v>226.73</v>
      </c>
      <c r="E81" s="2">
        <v>225.81</v>
      </c>
      <c r="F81" s="2">
        <v>226.4</v>
      </c>
      <c r="G81" s="1">
        <v>60503960</v>
      </c>
      <c r="H81" s="8">
        <f t="shared" si="0"/>
        <v>223.44599999999997</v>
      </c>
      <c r="I81" s="19">
        <f t="shared" si="1"/>
        <v>222.95450000000005</v>
      </c>
      <c r="J81" s="8">
        <f>testdata[[#This Row],[SMA(20)]]+0.025*testdata[[#This Row],[SMA(20)]]</f>
        <v>229.03214999999997</v>
      </c>
      <c r="K81" s="8">
        <f>testdata[[#This Row],[SMA(20)]]-0.025*testdata[[#This Row],[SMA(20)]]</f>
        <v>217.85984999999997</v>
      </c>
      <c r="L81" s="16">
        <f>testdata[[#This Row],[close]]-testdata[[#This Row],[SMA(TW)]]</f>
        <v>3.4454999999999529</v>
      </c>
      <c r="M81"/>
    </row>
    <row r="82" spans="1:13" x14ac:dyDescent="0.25">
      <c r="A82" s="6">
        <v>81</v>
      </c>
      <c r="B82" s="3">
        <v>42853</v>
      </c>
      <c r="C82" s="2">
        <v>226.68</v>
      </c>
      <c r="D82" s="2">
        <v>226.71</v>
      </c>
      <c r="E82" s="2">
        <v>225.76</v>
      </c>
      <c r="F82" s="2">
        <v>225.91</v>
      </c>
      <c r="G82" s="1">
        <v>66956400</v>
      </c>
      <c r="H82" s="8">
        <f t="shared" si="0"/>
        <v>223.53099999999995</v>
      </c>
      <c r="I82" s="19">
        <f t="shared" si="1"/>
        <v>222.83800000000002</v>
      </c>
      <c r="J82" s="8">
        <f>testdata[[#This Row],[SMA(20)]]+0.025*testdata[[#This Row],[SMA(20)]]</f>
        <v>229.11927499999996</v>
      </c>
      <c r="K82" s="8">
        <f>testdata[[#This Row],[SMA(20)]]-0.025*testdata[[#This Row],[SMA(20)]]</f>
        <v>217.94272499999994</v>
      </c>
      <c r="L82" s="16">
        <f>testdata[[#This Row],[close]]-testdata[[#This Row],[SMA(TW)]]</f>
        <v>3.0719999999999743</v>
      </c>
      <c r="M82"/>
    </row>
    <row r="83" spans="1:13" x14ac:dyDescent="0.25">
      <c r="A83" s="6">
        <v>82</v>
      </c>
      <c r="B83" s="3">
        <v>42856</v>
      </c>
      <c r="C83" s="2">
        <v>226.48</v>
      </c>
      <c r="D83" s="2">
        <v>226.94</v>
      </c>
      <c r="E83" s="2">
        <v>226.02</v>
      </c>
      <c r="F83" s="2">
        <v>226.48</v>
      </c>
      <c r="G83" s="1">
        <v>70486576</v>
      </c>
      <c r="H83" s="8">
        <f t="shared" si="0"/>
        <v>223.67049999999995</v>
      </c>
      <c r="I83" s="19">
        <f t="shared" si="1"/>
        <v>222.70050000000001</v>
      </c>
      <c r="J83" s="8">
        <f>testdata[[#This Row],[SMA(20)]]+0.025*testdata[[#This Row],[SMA(20)]]</f>
        <v>229.26226249999993</v>
      </c>
      <c r="K83" s="8">
        <f>testdata[[#This Row],[SMA(20)]]-0.025*testdata[[#This Row],[SMA(20)]]</f>
        <v>218.07873749999996</v>
      </c>
      <c r="L83" s="16">
        <f>testdata[[#This Row],[close]]-testdata[[#This Row],[SMA(TW)]]</f>
        <v>3.7794999999999845</v>
      </c>
      <c r="M83"/>
    </row>
    <row r="84" spans="1:13" x14ac:dyDescent="0.25">
      <c r="A84" s="6">
        <v>83</v>
      </c>
      <c r="B84" s="3">
        <v>42857</v>
      </c>
      <c r="C84" s="2">
        <v>226.63</v>
      </c>
      <c r="D84" s="2">
        <v>226.76</v>
      </c>
      <c r="E84" s="2">
        <v>226.12</v>
      </c>
      <c r="F84" s="2">
        <v>226.56</v>
      </c>
      <c r="G84" s="1">
        <v>60467504</v>
      </c>
      <c r="H84" s="8">
        <f t="shared" si="0"/>
        <v>223.83349999999996</v>
      </c>
      <c r="I84" s="19">
        <f t="shared" si="1"/>
        <v>222.68650000000002</v>
      </c>
      <c r="J84" s="8">
        <f>testdata[[#This Row],[SMA(20)]]+0.025*testdata[[#This Row],[SMA(20)]]</f>
        <v>229.42933749999995</v>
      </c>
      <c r="K84" s="8">
        <f>testdata[[#This Row],[SMA(20)]]-0.025*testdata[[#This Row],[SMA(20)]]</f>
        <v>218.23766249999997</v>
      </c>
      <c r="L84" s="16">
        <f>testdata[[#This Row],[close]]-testdata[[#This Row],[SMA(TW)]]</f>
        <v>3.8734999999999786</v>
      </c>
      <c r="M84"/>
    </row>
    <row r="85" spans="1:13" x14ac:dyDescent="0.25">
      <c r="A85" s="6">
        <v>84</v>
      </c>
      <c r="B85" s="3">
        <v>42858</v>
      </c>
      <c r="C85" s="2">
        <v>226.11</v>
      </c>
      <c r="D85" s="2">
        <v>226.66</v>
      </c>
      <c r="E85" s="2">
        <v>225.55</v>
      </c>
      <c r="F85" s="2">
        <v>226.29</v>
      </c>
      <c r="G85" s="1">
        <v>77078864</v>
      </c>
      <c r="H85" s="8">
        <f t="shared" si="0"/>
        <v>223.97599999999997</v>
      </c>
      <c r="I85" s="19">
        <f t="shared" si="1"/>
        <v>222.73700000000002</v>
      </c>
      <c r="J85" s="8">
        <f>testdata[[#This Row],[SMA(20)]]+0.025*testdata[[#This Row],[SMA(20)]]</f>
        <v>229.57539999999997</v>
      </c>
      <c r="K85" s="8">
        <f>testdata[[#This Row],[SMA(20)]]-0.025*testdata[[#This Row],[SMA(20)]]</f>
        <v>218.37659999999997</v>
      </c>
      <c r="L85" s="16">
        <f>testdata[[#This Row],[close]]-testdata[[#This Row],[SMA(TW)]]</f>
        <v>3.5529999999999688</v>
      </c>
      <c r="M85"/>
    </row>
    <row r="86" spans="1:13" x14ac:dyDescent="0.25">
      <c r="A86" s="6">
        <v>85</v>
      </c>
      <c r="B86" s="3">
        <v>42859</v>
      </c>
      <c r="C86" s="2">
        <v>226.62</v>
      </c>
      <c r="D86" s="2">
        <v>226.71</v>
      </c>
      <c r="E86" s="2">
        <v>225.62</v>
      </c>
      <c r="F86" s="2">
        <v>226.55</v>
      </c>
      <c r="G86" s="1">
        <v>64774736</v>
      </c>
      <c r="H86" s="8">
        <f t="shared" ref="H86:H149" si="2">AVERAGE(F67:F86)</f>
        <v>224.1645</v>
      </c>
      <c r="I86" s="19">
        <f t="shared" si="1"/>
        <v>222.76399999999998</v>
      </c>
      <c r="J86" s="8">
        <f>testdata[[#This Row],[SMA(20)]]+0.025*testdata[[#This Row],[SMA(20)]]</f>
        <v>229.76861250000002</v>
      </c>
      <c r="K86" s="8">
        <f>testdata[[#This Row],[SMA(20)]]-0.025*testdata[[#This Row],[SMA(20)]]</f>
        <v>218.56038749999999</v>
      </c>
      <c r="L86" s="16">
        <f>testdata[[#This Row],[close]]-testdata[[#This Row],[SMA(TW)]]</f>
        <v>3.7860000000000298</v>
      </c>
      <c r="M86"/>
    </row>
    <row r="87" spans="1:13" x14ac:dyDescent="0.25">
      <c r="A87" s="6">
        <v>86</v>
      </c>
      <c r="B87" s="3">
        <v>42860</v>
      </c>
      <c r="C87" s="2">
        <v>226.96</v>
      </c>
      <c r="D87" s="2">
        <v>227.46</v>
      </c>
      <c r="E87" s="2">
        <v>226.48</v>
      </c>
      <c r="F87" s="2">
        <v>227.44</v>
      </c>
      <c r="G87" s="1">
        <v>65342296</v>
      </c>
      <c r="H87" s="8">
        <f t="shared" si="2"/>
        <v>224.36649999999995</v>
      </c>
      <c r="I87" s="19">
        <f t="shared" si="1"/>
        <v>222.92099999999999</v>
      </c>
      <c r="J87" s="8">
        <f>testdata[[#This Row],[SMA(20)]]+0.025*testdata[[#This Row],[SMA(20)]]</f>
        <v>229.97566249999994</v>
      </c>
      <c r="K87" s="8">
        <f>testdata[[#This Row],[SMA(20)]]-0.025*testdata[[#This Row],[SMA(20)]]</f>
        <v>218.75733749999995</v>
      </c>
      <c r="L87" s="16">
        <f>testdata[[#This Row],[close]]-testdata[[#This Row],[SMA(TW)]]</f>
        <v>4.5190000000000055</v>
      </c>
      <c r="M87"/>
    </row>
    <row r="88" spans="1:13" x14ac:dyDescent="0.25">
      <c r="A88" s="6">
        <v>87</v>
      </c>
      <c r="B88" s="3">
        <v>42863</v>
      </c>
      <c r="C88" s="2">
        <v>227.49</v>
      </c>
      <c r="D88" s="2">
        <v>227.65</v>
      </c>
      <c r="E88" s="2">
        <v>226.94</v>
      </c>
      <c r="F88" s="2">
        <v>227.41</v>
      </c>
      <c r="G88" s="1">
        <v>50993060</v>
      </c>
      <c r="H88" s="8">
        <f t="shared" si="2"/>
        <v>224.57849999999999</v>
      </c>
      <c r="I88" s="19">
        <f t="shared" si="1"/>
        <v>223.15500000000003</v>
      </c>
      <c r="J88" s="8">
        <f>testdata[[#This Row],[SMA(20)]]+0.025*testdata[[#This Row],[SMA(20)]]</f>
        <v>230.19296249999999</v>
      </c>
      <c r="K88" s="8">
        <f>testdata[[#This Row],[SMA(20)]]-0.025*testdata[[#This Row],[SMA(20)]]</f>
        <v>218.96403749999999</v>
      </c>
      <c r="L88" s="16">
        <f>testdata[[#This Row],[close]]-testdata[[#This Row],[SMA(TW)]]</f>
        <v>4.254999999999967</v>
      </c>
      <c r="M88"/>
    </row>
    <row r="89" spans="1:13" x14ac:dyDescent="0.25">
      <c r="A89" s="6">
        <v>88</v>
      </c>
      <c r="B89" s="3">
        <v>42864</v>
      </c>
      <c r="C89" s="2">
        <v>227.69</v>
      </c>
      <c r="D89" s="2">
        <v>227.91</v>
      </c>
      <c r="E89" s="2">
        <v>226.82</v>
      </c>
      <c r="F89" s="2">
        <v>227.2</v>
      </c>
      <c r="G89" s="1">
        <v>54130976</v>
      </c>
      <c r="H89" s="8">
        <f t="shared" si="2"/>
        <v>224.773</v>
      </c>
      <c r="I89" s="19">
        <f t="shared" si="1"/>
        <v>223.30099999999999</v>
      </c>
      <c r="J89" s="8">
        <f>testdata[[#This Row],[SMA(20)]]+0.025*testdata[[#This Row],[SMA(20)]]</f>
        <v>230.392325</v>
      </c>
      <c r="K89" s="8">
        <f>testdata[[#This Row],[SMA(20)]]-0.025*testdata[[#This Row],[SMA(20)]]</f>
        <v>219.15367499999999</v>
      </c>
      <c r="L89" s="16">
        <f>testdata[[#This Row],[close]]-testdata[[#This Row],[SMA(TW)]]</f>
        <v>3.8990000000000009</v>
      </c>
      <c r="M89"/>
    </row>
    <row r="90" spans="1:13" x14ac:dyDescent="0.25">
      <c r="A90" s="6">
        <v>89</v>
      </c>
      <c r="B90" s="3">
        <v>42865</v>
      </c>
      <c r="C90" s="2">
        <v>227.15</v>
      </c>
      <c r="D90" s="2">
        <v>227.61</v>
      </c>
      <c r="E90" s="2">
        <v>226.92</v>
      </c>
      <c r="F90" s="2">
        <v>227.61</v>
      </c>
      <c r="G90" s="1">
        <v>57219496</v>
      </c>
      <c r="H90" s="8">
        <f t="shared" si="2"/>
        <v>225.00149999999999</v>
      </c>
      <c r="I90" s="19">
        <f t="shared" si="1"/>
        <v>223.44599999999997</v>
      </c>
      <c r="J90" s="8">
        <f>testdata[[#This Row],[SMA(20)]]+0.025*testdata[[#This Row],[SMA(20)]]</f>
        <v>230.62653749999998</v>
      </c>
      <c r="K90" s="8">
        <f>testdata[[#This Row],[SMA(20)]]-0.025*testdata[[#This Row],[SMA(20)]]</f>
        <v>219.3764625</v>
      </c>
      <c r="L90" s="16">
        <f>testdata[[#This Row],[close]]-testdata[[#This Row],[SMA(TW)]]</f>
        <v>4.1640000000000441</v>
      </c>
      <c r="M90"/>
    </row>
    <row r="91" spans="1:13" x14ac:dyDescent="0.25">
      <c r="A91" s="6">
        <v>90</v>
      </c>
      <c r="B91" s="3">
        <v>42866</v>
      </c>
      <c r="C91" s="2">
        <v>227.11</v>
      </c>
      <c r="D91" s="2">
        <v>227.32</v>
      </c>
      <c r="E91" s="2">
        <v>225.95</v>
      </c>
      <c r="F91" s="2">
        <v>227.14</v>
      </c>
      <c r="G91" s="1">
        <v>65718612</v>
      </c>
      <c r="H91" s="8">
        <f t="shared" si="2"/>
        <v>225.25549999999998</v>
      </c>
      <c r="I91" s="19">
        <f t="shared" si="1"/>
        <v>223.53099999999995</v>
      </c>
      <c r="J91" s="8">
        <f>testdata[[#This Row],[SMA(20)]]+0.025*testdata[[#This Row],[SMA(20)]]</f>
        <v>230.88688749999997</v>
      </c>
      <c r="K91" s="8">
        <f>testdata[[#This Row],[SMA(20)]]-0.025*testdata[[#This Row],[SMA(20)]]</f>
        <v>219.6241125</v>
      </c>
      <c r="L91" s="16">
        <f>testdata[[#This Row],[close]]-testdata[[#This Row],[SMA(TW)]]</f>
        <v>3.6090000000000373</v>
      </c>
      <c r="M91"/>
    </row>
    <row r="92" spans="1:13" x14ac:dyDescent="0.25">
      <c r="A92" s="6">
        <v>91</v>
      </c>
      <c r="B92" s="3">
        <v>42867</v>
      </c>
      <c r="C92" s="2">
        <v>226.87</v>
      </c>
      <c r="D92" s="2">
        <v>227.19</v>
      </c>
      <c r="E92" s="2">
        <v>226.47</v>
      </c>
      <c r="F92" s="2">
        <v>226.76</v>
      </c>
      <c r="G92" s="1">
        <v>56817892</v>
      </c>
      <c r="H92" s="8">
        <f t="shared" si="2"/>
        <v>225.5625</v>
      </c>
      <c r="I92" s="19">
        <f t="shared" si="1"/>
        <v>223.67049999999995</v>
      </c>
      <c r="J92" s="8">
        <f>testdata[[#This Row],[SMA(20)]]+0.025*testdata[[#This Row],[SMA(20)]]</f>
        <v>231.20156249999999</v>
      </c>
      <c r="K92" s="8">
        <f>testdata[[#This Row],[SMA(20)]]-0.025*testdata[[#This Row],[SMA(20)]]</f>
        <v>219.92343750000001</v>
      </c>
      <c r="L92" s="16">
        <f>testdata[[#This Row],[close]]-testdata[[#This Row],[SMA(TW)]]</f>
        <v>3.0895000000000437</v>
      </c>
      <c r="M92"/>
    </row>
    <row r="93" spans="1:13" x14ac:dyDescent="0.25">
      <c r="A93" s="6">
        <v>92</v>
      </c>
      <c r="B93" s="3">
        <v>42870</v>
      </c>
      <c r="C93" s="2">
        <v>227.23</v>
      </c>
      <c r="D93" s="2">
        <v>228.15</v>
      </c>
      <c r="E93" s="2">
        <v>227.21</v>
      </c>
      <c r="F93" s="2">
        <v>228.01</v>
      </c>
      <c r="G93" s="1">
        <v>65255528</v>
      </c>
      <c r="H93" s="8">
        <f t="shared" si="2"/>
        <v>225.834</v>
      </c>
      <c r="I93" s="19">
        <f t="shared" si="1"/>
        <v>223.83349999999996</v>
      </c>
      <c r="J93" s="8">
        <f>testdata[[#This Row],[SMA(20)]]+0.025*testdata[[#This Row],[SMA(20)]]</f>
        <v>231.47985</v>
      </c>
      <c r="K93" s="8">
        <f>testdata[[#This Row],[SMA(20)]]-0.025*testdata[[#This Row],[SMA(20)]]</f>
        <v>220.18815000000001</v>
      </c>
      <c r="L93" s="16">
        <f>testdata[[#This Row],[close]]-testdata[[#This Row],[SMA(TW)]]</f>
        <v>4.1765000000000327</v>
      </c>
      <c r="M93"/>
    </row>
    <row r="94" spans="1:13" x14ac:dyDescent="0.25">
      <c r="A94" s="6">
        <v>93</v>
      </c>
      <c r="B94" s="3">
        <v>42871</v>
      </c>
      <c r="C94" s="2">
        <v>228.34</v>
      </c>
      <c r="D94" s="2">
        <v>228.36</v>
      </c>
      <c r="E94" s="2">
        <v>227.38</v>
      </c>
      <c r="F94" s="2">
        <v>227.8</v>
      </c>
      <c r="G94" s="1">
        <v>54003024</v>
      </c>
      <c r="H94" s="8">
        <f t="shared" si="2"/>
        <v>226.12850000000003</v>
      </c>
      <c r="I94" s="19">
        <f t="shared" si="1"/>
        <v>223.97599999999997</v>
      </c>
      <c r="J94" s="8">
        <f>testdata[[#This Row],[SMA(20)]]+0.025*testdata[[#This Row],[SMA(20)]]</f>
        <v>231.78171250000003</v>
      </c>
      <c r="K94" s="8">
        <f>testdata[[#This Row],[SMA(20)]]-0.025*testdata[[#This Row],[SMA(20)]]</f>
        <v>220.47528750000004</v>
      </c>
      <c r="L94" s="16">
        <f>testdata[[#This Row],[close]]-testdata[[#This Row],[SMA(TW)]]</f>
        <v>3.8240000000000407</v>
      </c>
      <c r="M94"/>
    </row>
    <row r="95" spans="1:13" x14ac:dyDescent="0.25">
      <c r="A95" s="6">
        <v>94</v>
      </c>
      <c r="B95" s="3">
        <v>42872</v>
      </c>
      <c r="C95" s="2">
        <v>225.93</v>
      </c>
      <c r="D95" s="2">
        <v>226.44</v>
      </c>
      <c r="E95" s="2">
        <v>223.7</v>
      </c>
      <c r="F95" s="2">
        <v>223.76</v>
      </c>
      <c r="G95" s="1">
        <v>181451968</v>
      </c>
      <c r="H95" s="8">
        <f t="shared" si="2"/>
        <v>226.24150000000003</v>
      </c>
      <c r="I95" s="19">
        <f t="shared" ref="I95:I158" si="3">AVERAGE(F67:F86)</f>
        <v>224.1645</v>
      </c>
      <c r="J95" s="8">
        <f>testdata[[#This Row],[SMA(20)]]+0.025*testdata[[#This Row],[SMA(20)]]</f>
        <v>231.89753750000003</v>
      </c>
      <c r="K95" s="8">
        <f>testdata[[#This Row],[SMA(20)]]-0.025*testdata[[#This Row],[SMA(20)]]</f>
        <v>220.58546250000003</v>
      </c>
      <c r="L95" s="16">
        <f>testdata[[#This Row],[close]]-testdata[[#This Row],[SMA(TW)]]</f>
        <v>-0.40450000000001296</v>
      </c>
      <c r="M95"/>
    </row>
    <row r="96" spans="1:13" x14ac:dyDescent="0.25">
      <c r="A96" s="6">
        <v>95</v>
      </c>
      <c r="B96" s="3">
        <v>42873</v>
      </c>
      <c r="C96" s="2">
        <v>223.68</v>
      </c>
      <c r="D96" s="2">
        <v>225.59</v>
      </c>
      <c r="E96" s="2">
        <v>223.39</v>
      </c>
      <c r="F96" s="2">
        <v>224.66</v>
      </c>
      <c r="G96" s="1">
        <v>112816072</v>
      </c>
      <c r="H96" s="8">
        <f t="shared" si="2"/>
        <v>226.30900000000003</v>
      </c>
      <c r="I96" s="19">
        <f t="shared" si="3"/>
        <v>224.36649999999995</v>
      </c>
      <c r="J96" s="8">
        <f>testdata[[#This Row],[SMA(20)]]+0.025*testdata[[#This Row],[SMA(20)]]</f>
        <v>231.96672500000003</v>
      </c>
      <c r="K96" s="8">
        <f>testdata[[#This Row],[SMA(20)]]-0.025*testdata[[#This Row],[SMA(20)]]</f>
        <v>220.65127500000003</v>
      </c>
      <c r="L96" s="16">
        <f>testdata[[#This Row],[close]]-testdata[[#This Row],[SMA(TW)]]</f>
        <v>0.29350000000005139</v>
      </c>
      <c r="M96"/>
    </row>
    <row r="97" spans="1:13" x14ac:dyDescent="0.25">
      <c r="A97" s="6">
        <v>96</v>
      </c>
      <c r="B97" s="3">
        <v>42874</v>
      </c>
      <c r="C97" s="2">
        <v>225.2</v>
      </c>
      <c r="D97" s="2">
        <v>226.86</v>
      </c>
      <c r="E97" s="2">
        <v>225.14</v>
      </c>
      <c r="F97" s="2">
        <v>226.12</v>
      </c>
      <c r="G97" s="1">
        <v>121208928</v>
      </c>
      <c r="H97" s="8">
        <f t="shared" si="2"/>
        <v>226.48499999999999</v>
      </c>
      <c r="I97" s="19">
        <f t="shared" si="3"/>
        <v>224.57849999999999</v>
      </c>
      <c r="J97" s="8">
        <f>testdata[[#This Row],[SMA(20)]]+0.025*testdata[[#This Row],[SMA(20)]]</f>
        <v>232.14712499999999</v>
      </c>
      <c r="K97" s="8">
        <f>testdata[[#This Row],[SMA(20)]]-0.025*testdata[[#This Row],[SMA(20)]]</f>
        <v>220.82287499999998</v>
      </c>
      <c r="L97" s="16">
        <f>testdata[[#This Row],[close]]-testdata[[#This Row],[SMA(TW)]]</f>
        <v>1.5415000000000134</v>
      </c>
      <c r="M97"/>
    </row>
    <row r="98" spans="1:13" x14ac:dyDescent="0.25">
      <c r="A98" s="6">
        <v>97</v>
      </c>
      <c r="B98" s="3">
        <v>42877</v>
      </c>
      <c r="C98" s="2">
        <v>226.68</v>
      </c>
      <c r="D98" s="2">
        <v>227.45</v>
      </c>
      <c r="E98" s="2">
        <v>226.61</v>
      </c>
      <c r="F98" s="2">
        <v>227.27</v>
      </c>
      <c r="G98" s="1">
        <v>64298244</v>
      </c>
      <c r="H98" s="8">
        <f t="shared" si="2"/>
        <v>226.59650000000002</v>
      </c>
      <c r="I98" s="19">
        <f t="shared" si="3"/>
        <v>224.773</v>
      </c>
      <c r="J98" s="8">
        <f>testdata[[#This Row],[SMA(20)]]+0.025*testdata[[#This Row],[SMA(20)]]</f>
        <v>232.26141250000003</v>
      </c>
      <c r="K98" s="8">
        <f>testdata[[#This Row],[SMA(20)]]-0.025*testdata[[#This Row],[SMA(20)]]</f>
        <v>220.93158750000001</v>
      </c>
      <c r="L98" s="16">
        <f>testdata[[#This Row],[close]]-testdata[[#This Row],[SMA(TW)]]</f>
        <v>2.4970000000000141</v>
      </c>
      <c r="M98"/>
    </row>
    <row r="99" spans="1:13" x14ac:dyDescent="0.25">
      <c r="A99" s="6">
        <v>98</v>
      </c>
      <c r="B99" s="3">
        <v>42878</v>
      </c>
      <c r="C99" s="2">
        <v>227.68</v>
      </c>
      <c r="D99" s="2">
        <v>227.96</v>
      </c>
      <c r="E99" s="2">
        <v>227.26</v>
      </c>
      <c r="F99" s="2">
        <v>227.78</v>
      </c>
      <c r="G99" s="1">
        <v>50946640</v>
      </c>
      <c r="H99" s="8">
        <f t="shared" si="2"/>
        <v>226.66800000000003</v>
      </c>
      <c r="I99" s="19">
        <f t="shared" si="3"/>
        <v>225.00149999999999</v>
      </c>
      <c r="J99" s="8">
        <f>testdata[[#This Row],[SMA(20)]]+0.025*testdata[[#This Row],[SMA(20)]]</f>
        <v>232.33470000000003</v>
      </c>
      <c r="K99" s="8">
        <f>testdata[[#This Row],[SMA(20)]]-0.025*testdata[[#This Row],[SMA(20)]]</f>
        <v>221.00130000000004</v>
      </c>
      <c r="L99" s="16">
        <f>testdata[[#This Row],[close]]-testdata[[#This Row],[SMA(TW)]]</f>
        <v>2.7785000000000082</v>
      </c>
      <c r="M99"/>
    </row>
    <row r="100" spans="1:13" x14ac:dyDescent="0.25">
      <c r="A100" s="6">
        <v>99</v>
      </c>
      <c r="B100" s="3">
        <v>42879</v>
      </c>
      <c r="C100" s="2">
        <v>228.03</v>
      </c>
      <c r="D100" s="2">
        <v>228.42</v>
      </c>
      <c r="E100" s="2">
        <v>227.66</v>
      </c>
      <c r="F100" s="2">
        <v>228.31</v>
      </c>
      <c r="G100" s="1">
        <v>51831288</v>
      </c>
      <c r="H100" s="8">
        <f t="shared" si="2"/>
        <v>226.77300000000005</v>
      </c>
      <c r="I100" s="19">
        <f t="shared" si="3"/>
        <v>225.25549999999998</v>
      </c>
      <c r="J100" s="8">
        <f>testdata[[#This Row],[SMA(20)]]+0.025*testdata[[#This Row],[SMA(20)]]</f>
        <v>232.44232500000007</v>
      </c>
      <c r="K100" s="8">
        <f>testdata[[#This Row],[SMA(20)]]-0.025*testdata[[#This Row],[SMA(20)]]</f>
        <v>221.10367500000004</v>
      </c>
      <c r="L100" s="16">
        <f>testdata[[#This Row],[close]]-testdata[[#This Row],[SMA(TW)]]</f>
        <v>3.0545000000000186</v>
      </c>
      <c r="M100"/>
    </row>
    <row r="101" spans="1:13" x14ac:dyDescent="0.25">
      <c r="A101" s="6">
        <v>100</v>
      </c>
      <c r="B101" s="3">
        <v>42880</v>
      </c>
      <c r="C101" s="2">
        <v>228.87</v>
      </c>
      <c r="D101" s="2">
        <v>229.7</v>
      </c>
      <c r="E101" s="2">
        <v>228.64</v>
      </c>
      <c r="F101" s="2">
        <v>229.4</v>
      </c>
      <c r="G101" s="1">
        <v>67524256</v>
      </c>
      <c r="H101" s="8">
        <f t="shared" si="2"/>
        <v>226.92300000000006</v>
      </c>
      <c r="I101" s="19">
        <f t="shared" si="3"/>
        <v>225.5625</v>
      </c>
      <c r="J101" s="8">
        <f>testdata[[#This Row],[SMA(20)]]+0.025*testdata[[#This Row],[SMA(20)]]</f>
        <v>232.59607500000007</v>
      </c>
      <c r="K101" s="8">
        <f>testdata[[#This Row],[SMA(20)]]-0.025*testdata[[#This Row],[SMA(20)]]</f>
        <v>221.24992500000005</v>
      </c>
      <c r="L101" s="16">
        <f>testdata[[#This Row],[close]]-testdata[[#This Row],[SMA(TW)]]</f>
        <v>3.8375000000000057</v>
      </c>
      <c r="M101"/>
    </row>
    <row r="102" spans="1:13" x14ac:dyDescent="0.25">
      <c r="A102" s="6">
        <v>101</v>
      </c>
      <c r="B102" s="3">
        <v>42881</v>
      </c>
      <c r="C102" s="2">
        <v>229.19</v>
      </c>
      <c r="D102" s="2">
        <v>229.53</v>
      </c>
      <c r="E102" s="2">
        <v>229.1</v>
      </c>
      <c r="F102" s="2">
        <v>229.35</v>
      </c>
      <c r="G102" s="1">
        <v>49142620</v>
      </c>
      <c r="H102" s="8">
        <f t="shared" si="2"/>
        <v>227.09500000000003</v>
      </c>
      <c r="I102" s="19">
        <f t="shared" si="3"/>
        <v>225.834</v>
      </c>
      <c r="J102" s="8">
        <f>testdata[[#This Row],[SMA(20)]]+0.025*testdata[[#This Row],[SMA(20)]]</f>
        <v>232.77237500000004</v>
      </c>
      <c r="K102" s="8">
        <f>testdata[[#This Row],[SMA(20)]]-0.025*testdata[[#This Row],[SMA(20)]]</f>
        <v>221.41762500000002</v>
      </c>
      <c r="L102" s="16">
        <f>testdata[[#This Row],[close]]-testdata[[#This Row],[SMA(TW)]]</f>
        <v>3.5159999999999911</v>
      </c>
      <c r="M102"/>
    </row>
    <row r="103" spans="1:13" x14ac:dyDescent="0.25">
      <c r="A103" s="6">
        <v>102</v>
      </c>
      <c r="B103" s="3">
        <v>42885</v>
      </c>
      <c r="C103" s="2">
        <v>229</v>
      </c>
      <c r="D103" s="2">
        <v>229.43</v>
      </c>
      <c r="E103" s="2">
        <v>228.83</v>
      </c>
      <c r="F103" s="2">
        <v>229.15</v>
      </c>
      <c r="G103" s="1">
        <v>37098796</v>
      </c>
      <c r="H103" s="8">
        <f t="shared" si="2"/>
        <v>227.22850000000003</v>
      </c>
      <c r="I103" s="19">
        <f t="shared" si="3"/>
        <v>226.12850000000003</v>
      </c>
      <c r="J103" s="8">
        <f>testdata[[#This Row],[SMA(20)]]+0.025*testdata[[#This Row],[SMA(20)]]</f>
        <v>232.90921250000002</v>
      </c>
      <c r="K103" s="8">
        <f>testdata[[#This Row],[SMA(20)]]-0.025*testdata[[#This Row],[SMA(20)]]</f>
        <v>221.54778750000003</v>
      </c>
      <c r="L103" s="16">
        <f>testdata[[#This Row],[close]]-testdata[[#This Row],[SMA(TW)]]</f>
        <v>3.0214999999999748</v>
      </c>
      <c r="M103"/>
    </row>
    <row r="104" spans="1:13" x14ac:dyDescent="0.25">
      <c r="A104" s="6">
        <v>103</v>
      </c>
      <c r="B104" s="3">
        <v>42886</v>
      </c>
      <c r="C104" s="2">
        <v>229.47</v>
      </c>
      <c r="D104" s="2">
        <v>229.51</v>
      </c>
      <c r="E104" s="2">
        <v>228.34</v>
      </c>
      <c r="F104" s="2">
        <v>229.09</v>
      </c>
      <c r="G104" s="1">
        <v>96742576</v>
      </c>
      <c r="H104" s="8">
        <f t="shared" si="2"/>
        <v>227.35500000000002</v>
      </c>
      <c r="I104" s="19">
        <f t="shared" si="3"/>
        <v>226.24150000000003</v>
      </c>
      <c r="J104" s="8">
        <f>testdata[[#This Row],[SMA(20)]]+0.025*testdata[[#This Row],[SMA(20)]]</f>
        <v>233.03887500000002</v>
      </c>
      <c r="K104" s="8">
        <f>testdata[[#This Row],[SMA(20)]]-0.025*testdata[[#This Row],[SMA(20)]]</f>
        <v>221.67112500000002</v>
      </c>
      <c r="L104" s="16">
        <f>testdata[[#This Row],[close]]-testdata[[#This Row],[SMA(TW)]]</f>
        <v>2.8484999999999729</v>
      </c>
      <c r="M104"/>
    </row>
    <row r="105" spans="1:13" x14ac:dyDescent="0.25">
      <c r="A105" s="6">
        <v>104</v>
      </c>
      <c r="B105" s="3">
        <v>42887</v>
      </c>
      <c r="C105" s="2">
        <v>229.6</v>
      </c>
      <c r="D105" s="2">
        <v>230.94</v>
      </c>
      <c r="E105" s="2">
        <v>229.28</v>
      </c>
      <c r="F105" s="2">
        <v>230.92</v>
      </c>
      <c r="G105" s="1">
        <v>72678144</v>
      </c>
      <c r="H105" s="8">
        <f t="shared" si="2"/>
        <v>227.58649999999997</v>
      </c>
      <c r="I105" s="19">
        <f t="shared" si="3"/>
        <v>226.30900000000003</v>
      </c>
      <c r="J105" s="8">
        <f>testdata[[#This Row],[SMA(20)]]+0.025*testdata[[#This Row],[SMA(20)]]</f>
        <v>233.27616249999997</v>
      </c>
      <c r="K105" s="8">
        <f>testdata[[#This Row],[SMA(20)]]-0.025*testdata[[#This Row],[SMA(20)]]</f>
        <v>221.89683749999998</v>
      </c>
      <c r="L105" s="16">
        <f>testdata[[#This Row],[close]]-testdata[[#This Row],[SMA(TW)]]</f>
        <v>4.6109999999999616</v>
      </c>
      <c r="M105"/>
    </row>
    <row r="106" spans="1:13" x14ac:dyDescent="0.25">
      <c r="A106" s="6">
        <v>105</v>
      </c>
      <c r="B106" s="3">
        <v>42888</v>
      </c>
      <c r="C106" s="2">
        <v>230.97</v>
      </c>
      <c r="D106" s="2">
        <v>231.86</v>
      </c>
      <c r="E106" s="2">
        <v>230.65</v>
      </c>
      <c r="F106" s="2">
        <v>231.69</v>
      </c>
      <c r="G106" s="1">
        <v>93444032</v>
      </c>
      <c r="H106" s="8">
        <f t="shared" si="2"/>
        <v>227.84350000000001</v>
      </c>
      <c r="I106" s="19">
        <f t="shared" si="3"/>
        <v>226.48499999999999</v>
      </c>
      <c r="J106" s="8">
        <f>testdata[[#This Row],[SMA(20)]]+0.025*testdata[[#This Row],[SMA(20)]]</f>
        <v>233.53958750000001</v>
      </c>
      <c r="K106" s="8">
        <f>testdata[[#This Row],[SMA(20)]]-0.025*testdata[[#This Row],[SMA(20)]]</f>
        <v>222.1474125</v>
      </c>
      <c r="L106" s="16">
        <f>testdata[[#This Row],[close]]-testdata[[#This Row],[SMA(TW)]]</f>
        <v>5.2050000000000125</v>
      </c>
      <c r="M106"/>
    </row>
    <row r="107" spans="1:13" x14ac:dyDescent="0.25">
      <c r="A107" s="6">
        <v>106</v>
      </c>
      <c r="B107" s="3">
        <v>42891</v>
      </c>
      <c r="C107" s="2">
        <v>231.5</v>
      </c>
      <c r="D107" s="2">
        <v>231.81</v>
      </c>
      <c r="E107" s="2">
        <v>231.3</v>
      </c>
      <c r="F107" s="2">
        <v>231.51</v>
      </c>
      <c r="G107" s="1">
        <v>47107480</v>
      </c>
      <c r="H107" s="8">
        <f t="shared" si="2"/>
        <v>228.04699999999997</v>
      </c>
      <c r="I107" s="19">
        <f t="shared" si="3"/>
        <v>226.59650000000002</v>
      </c>
      <c r="J107" s="8">
        <f>testdata[[#This Row],[SMA(20)]]+0.025*testdata[[#This Row],[SMA(20)]]</f>
        <v>233.74817499999997</v>
      </c>
      <c r="K107" s="8">
        <f>testdata[[#This Row],[SMA(20)]]-0.025*testdata[[#This Row],[SMA(20)]]</f>
        <v>222.34582499999996</v>
      </c>
      <c r="L107" s="16">
        <f>testdata[[#This Row],[close]]-testdata[[#This Row],[SMA(TW)]]</f>
        <v>4.9134999999999707</v>
      </c>
      <c r="M107"/>
    </row>
    <row r="108" spans="1:13" x14ac:dyDescent="0.25">
      <c r="A108" s="6">
        <v>107</v>
      </c>
      <c r="B108" s="3">
        <v>42892</v>
      </c>
      <c r="C108" s="2">
        <v>230.9</v>
      </c>
      <c r="D108" s="2">
        <v>231.51</v>
      </c>
      <c r="E108" s="2">
        <v>230.69</v>
      </c>
      <c r="F108" s="2">
        <v>230.77</v>
      </c>
      <c r="G108" s="1">
        <v>53089976</v>
      </c>
      <c r="H108" s="8">
        <f t="shared" si="2"/>
        <v>228.21500000000006</v>
      </c>
      <c r="I108" s="19">
        <f t="shared" si="3"/>
        <v>226.66800000000003</v>
      </c>
      <c r="J108" s="8">
        <f>testdata[[#This Row],[SMA(20)]]+0.025*testdata[[#This Row],[SMA(20)]]</f>
        <v>233.92037500000006</v>
      </c>
      <c r="K108" s="8">
        <f>testdata[[#This Row],[SMA(20)]]-0.025*testdata[[#This Row],[SMA(20)]]</f>
        <v>222.50962500000006</v>
      </c>
      <c r="L108" s="16">
        <f>testdata[[#This Row],[close]]-testdata[[#This Row],[SMA(TW)]]</f>
        <v>4.1019999999999754</v>
      </c>
      <c r="M108"/>
    </row>
    <row r="109" spans="1:13" x14ac:dyDescent="0.25">
      <c r="A109" s="6">
        <v>108</v>
      </c>
      <c r="B109" s="3">
        <v>42893</v>
      </c>
      <c r="C109" s="2">
        <v>231.14</v>
      </c>
      <c r="D109" s="2">
        <v>231.45</v>
      </c>
      <c r="E109" s="2">
        <v>230.41</v>
      </c>
      <c r="F109" s="2">
        <v>231.2</v>
      </c>
      <c r="G109" s="1">
        <v>57061952</v>
      </c>
      <c r="H109" s="8">
        <f t="shared" si="2"/>
        <v>228.41500000000005</v>
      </c>
      <c r="I109" s="19">
        <f t="shared" si="3"/>
        <v>226.77300000000005</v>
      </c>
      <c r="J109" s="8">
        <f>testdata[[#This Row],[SMA(20)]]+0.025*testdata[[#This Row],[SMA(20)]]</f>
        <v>234.12537500000005</v>
      </c>
      <c r="K109" s="8">
        <f>testdata[[#This Row],[SMA(20)]]-0.025*testdata[[#This Row],[SMA(20)]]</f>
        <v>222.70462500000005</v>
      </c>
      <c r="L109" s="16">
        <f>testdata[[#This Row],[close]]-testdata[[#This Row],[SMA(TW)]]</f>
        <v>4.4269999999999357</v>
      </c>
      <c r="M109"/>
    </row>
    <row r="110" spans="1:13" x14ac:dyDescent="0.25">
      <c r="A110" s="6">
        <v>109</v>
      </c>
      <c r="B110" s="3">
        <v>42894</v>
      </c>
      <c r="C110" s="2">
        <v>231.31</v>
      </c>
      <c r="D110" s="2">
        <v>231.84</v>
      </c>
      <c r="E110" s="2">
        <v>230.74</v>
      </c>
      <c r="F110" s="2">
        <v>231.32</v>
      </c>
      <c r="G110" s="1">
        <v>69504536</v>
      </c>
      <c r="H110" s="8">
        <f t="shared" si="2"/>
        <v>228.60050000000001</v>
      </c>
      <c r="I110" s="19">
        <f t="shared" si="3"/>
        <v>226.92300000000006</v>
      </c>
      <c r="J110" s="8">
        <f>testdata[[#This Row],[SMA(20)]]+0.025*testdata[[#This Row],[SMA(20)]]</f>
        <v>234.31551250000001</v>
      </c>
      <c r="K110" s="8">
        <f>testdata[[#This Row],[SMA(20)]]-0.025*testdata[[#This Row],[SMA(20)]]</f>
        <v>222.88548750000001</v>
      </c>
      <c r="L110" s="16">
        <f>testdata[[#This Row],[close]]-testdata[[#This Row],[SMA(TW)]]</f>
        <v>4.3969999999999345</v>
      </c>
      <c r="M110"/>
    </row>
    <row r="111" spans="1:13" x14ac:dyDescent="0.25">
      <c r="A111" s="6">
        <v>110</v>
      </c>
      <c r="B111" s="3">
        <v>42895</v>
      </c>
      <c r="C111" s="2">
        <v>231.61</v>
      </c>
      <c r="D111" s="2">
        <v>232.48</v>
      </c>
      <c r="E111" s="2">
        <v>229.58</v>
      </c>
      <c r="F111" s="2">
        <v>230.96</v>
      </c>
      <c r="G111" s="1">
        <v>139383184</v>
      </c>
      <c r="H111" s="8">
        <f t="shared" si="2"/>
        <v>228.79149999999998</v>
      </c>
      <c r="I111" s="19">
        <f t="shared" si="3"/>
        <v>227.09500000000003</v>
      </c>
      <c r="J111" s="8">
        <f>testdata[[#This Row],[SMA(20)]]+0.025*testdata[[#This Row],[SMA(20)]]</f>
        <v>234.51128749999998</v>
      </c>
      <c r="K111" s="8">
        <f>testdata[[#This Row],[SMA(20)]]-0.025*testdata[[#This Row],[SMA(20)]]</f>
        <v>223.07171249999999</v>
      </c>
      <c r="L111" s="16">
        <f>testdata[[#This Row],[close]]-testdata[[#This Row],[SMA(TW)]]</f>
        <v>3.8649999999999807</v>
      </c>
      <c r="M111"/>
    </row>
    <row r="112" spans="1:13" x14ac:dyDescent="0.25">
      <c r="A112" s="6">
        <v>111</v>
      </c>
      <c r="B112" s="3">
        <v>42898</v>
      </c>
      <c r="C112" s="2">
        <v>230.7</v>
      </c>
      <c r="D112" s="2">
        <v>230.97</v>
      </c>
      <c r="E112" s="2">
        <v>229.99</v>
      </c>
      <c r="F112" s="2">
        <v>230.92</v>
      </c>
      <c r="G112" s="1">
        <v>90748160</v>
      </c>
      <c r="H112" s="8">
        <f t="shared" si="2"/>
        <v>228.99950000000004</v>
      </c>
      <c r="I112" s="19">
        <f t="shared" si="3"/>
        <v>227.22850000000003</v>
      </c>
      <c r="J112" s="8">
        <f>testdata[[#This Row],[SMA(20)]]+0.025*testdata[[#This Row],[SMA(20)]]</f>
        <v>234.72448750000004</v>
      </c>
      <c r="K112" s="8">
        <f>testdata[[#This Row],[SMA(20)]]-0.025*testdata[[#This Row],[SMA(20)]]</f>
        <v>223.27451250000004</v>
      </c>
      <c r="L112" s="16">
        <f>testdata[[#This Row],[close]]-testdata[[#This Row],[SMA(TW)]]</f>
        <v>3.6914999999999623</v>
      </c>
      <c r="M112"/>
    </row>
    <row r="113" spans="1:13" x14ac:dyDescent="0.25">
      <c r="A113" s="6">
        <v>112</v>
      </c>
      <c r="B113" s="3">
        <v>42899</v>
      </c>
      <c r="C113" s="2">
        <v>231.51</v>
      </c>
      <c r="D113" s="2">
        <v>232.1</v>
      </c>
      <c r="E113" s="2">
        <v>231.13</v>
      </c>
      <c r="F113" s="2">
        <v>232.05</v>
      </c>
      <c r="G113" s="1">
        <v>63303744</v>
      </c>
      <c r="H113" s="8">
        <f t="shared" si="2"/>
        <v>229.20150000000004</v>
      </c>
      <c r="I113" s="19">
        <f t="shared" si="3"/>
        <v>227.35500000000002</v>
      </c>
      <c r="J113" s="8">
        <f>testdata[[#This Row],[SMA(20)]]+0.025*testdata[[#This Row],[SMA(20)]]</f>
        <v>234.93153750000005</v>
      </c>
      <c r="K113" s="8">
        <f>testdata[[#This Row],[SMA(20)]]-0.025*testdata[[#This Row],[SMA(20)]]</f>
        <v>223.47146250000003</v>
      </c>
      <c r="L113" s="16">
        <f>testdata[[#This Row],[close]]-testdata[[#This Row],[SMA(TW)]]</f>
        <v>4.6949999999999932</v>
      </c>
      <c r="M113"/>
    </row>
    <row r="114" spans="1:13" x14ac:dyDescent="0.25">
      <c r="A114" s="6">
        <v>113</v>
      </c>
      <c r="B114" s="3">
        <v>42900</v>
      </c>
      <c r="C114" s="2">
        <v>232.34</v>
      </c>
      <c r="D114" s="2">
        <v>232.35</v>
      </c>
      <c r="E114" s="2">
        <v>230.85</v>
      </c>
      <c r="F114" s="2">
        <v>231.75</v>
      </c>
      <c r="G114" s="1">
        <v>82837904</v>
      </c>
      <c r="H114" s="8">
        <f t="shared" si="2"/>
        <v>229.39900000000003</v>
      </c>
      <c r="I114" s="19">
        <f t="shared" si="3"/>
        <v>227.58649999999997</v>
      </c>
      <c r="J114" s="8">
        <f>testdata[[#This Row],[SMA(20)]]+0.025*testdata[[#This Row],[SMA(20)]]</f>
        <v>235.13397500000002</v>
      </c>
      <c r="K114" s="8">
        <f>testdata[[#This Row],[SMA(20)]]-0.025*testdata[[#This Row],[SMA(20)]]</f>
        <v>223.66402500000004</v>
      </c>
      <c r="L114" s="16">
        <f>testdata[[#This Row],[close]]-testdata[[#This Row],[SMA(TW)]]</f>
        <v>4.1635000000000275</v>
      </c>
      <c r="M114"/>
    </row>
    <row r="115" spans="1:13" x14ac:dyDescent="0.25">
      <c r="A115" s="6">
        <v>114</v>
      </c>
      <c r="B115" s="3">
        <v>42901</v>
      </c>
      <c r="C115" s="2">
        <v>230.27</v>
      </c>
      <c r="D115" s="2">
        <v>231.44</v>
      </c>
      <c r="E115" s="2">
        <v>229.97</v>
      </c>
      <c r="F115" s="2">
        <v>231.31</v>
      </c>
      <c r="G115" s="1">
        <v>70046440</v>
      </c>
      <c r="H115" s="8">
        <f t="shared" si="2"/>
        <v>229.77650000000003</v>
      </c>
      <c r="I115" s="19">
        <f t="shared" si="3"/>
        <v>227.84350000000001</v>
      </c>
      <c r="J115" s="8">
        <f>testdata[[#This Row],[SMA(20)]]+0.025*testdata[[#This Row],[SMA(20)]]</f>
        <v>235.52091250000004</v>
      </c>
      <c r="K115" s="8">
        <f>testdata[[#This Row],[SMA(20)]]-0.025*testdata[[#This Row],[SMA(20)]]</f>
        <v>224.03208750000002</v>
      </c>
      <c r="L115" s="16">
        <f>testdata[[#This Row],[close]]-testdata[[#This Row],[SMA(TW)]]</f>
        <v>3.4664999999999964</v>
      </c>
      <c r="M115"/>
    </row>
    <row r="116" spans="1:13" x14ac:dyDescent="0.25">
      <c r="A116" s="6">
        <v>115</v>
      </c>
      <c r="B116" s="3">
        <v>42902</v>
      </c>
      <c r="C116" s="2">
        <v>231.48</v>
      </c>
      <c r="D116" s="2">
        <v>231.54</v>
      </c>
      <c r="E116" s="2">
        <v>230.4</v>
      </c>
      <c r="F116" s="2">
        <v>231.36</v>
      </c>
      <c r="G116" s="1">
        <v>88676880</v>
      </c>
      <c r="H116" s="8">
        <f t="shared" si="2"/>
        <v>230.11150000000004</v>
      </c>
      <c r="I116" s="19">
        <f t="shared" si="3"/>
        <v>228.04699999999997</v>
      </c>
      <c r="J116" s="8">
        <f>testdata[[#This Row],[SMA(20)]]+0.025*testdata[[#This Row],[SMA(20)]]</f>
        <v>235.86428750000005</v>
      </c>
      <c r="K116" s="8">
        <f>testdata[[#This Row],[SMA(20)]]-0.025*testdata[[#This Row],[SMA(20)]]</f>
        <v>224.35871250000002</v>
      </c>
      <c r="L116" s="16">
        <f>testdata[[#This Row],[close]]-testdata[[#This Row],[SMA(TW)]]</f>
        <v>3.313000000000045</v>
      </c>
      <c r="M116"/>
    </row>
    <row r="117" spans="1:13" x14ac:dyDescent="0.25">
      <c r="A117" s="6">
        <v>116</v>
      </c>
      <c r="B117" s="3">
        <v>42905</v>
      </c>
      <c r="C117" s="2">
        <v>232.26</v>
      </c>
      <c r="D117" s="2">
        <v>233.35</v>
      </c>
      <c r="E117" s="2">
        <v>232.16</v>
      </c>
      <c r="F117" s="2">
        <v>233.28</v>
      </c>
      <c r="G117" s="1">
        <v>68299992</v>
      </c>
      <c r="H117" s="8">
        <f t="shared" si="2"/>
        <v>230.46950000000001</v>
      </c>
      <c r="I117" s="19">
        <f t="shared" si="3"/>
        <v>228.21500000000006</v>
      </c>
      <c r="J117" s="8">
        <f>testdata[[#This Row],[SMA(20)]]+0.025*testdata[[#This Row],[SMA(20)]]</f>
        <v>236.23123750000002</v>
      </c>
      <c r="K117" s="8">
        <f>testdata[[#This Row],[SMA(20)]]-0.025*testdata[[#This Row],[SMA(20)]]</f>
        <v>224.7077625</v>
      </c>
      <c r="L117" s="16">
        <f>testdata[[#This Row],[close]]-testdata[[#This Row],[SMA(TW)]]</f>
        <v>5.0649999999999409</v>
      </c>
      <c r="M117"/>
    </row>
    <row r="118" spans="1:13" x14ac:dyDescent="0.25">
      <c r="A118" s="6">
        <v>117</v>
      </c>
      <c r="B118" s="3">
        <v>42906</v>
      </c>
      <c r="C118" s="2">
        <v>232.89</v>
      </c>
      <c r="D118" s="2">
        <v>232.9</v>
      </c>
      <c r="E118" s="2">
        <v>231.69</v>
      </c>
      <c r="F118" s="2">
        <v>231.71</v>
      </c>
      <c r="G118" s="1">
        <v>59681776</v>
      </c>
      <c r="H118" s="8">
        <f t="shared" si="2"/>
        <v>230.69149999999999</v>
      </c>
      <c r="I118" s="19">
        <f t="shared" si="3"/>
        <v>228.41500000000005</v>
      </c>
      <c r="J118" s="8">
        <f>testdata[[#This Row],[SMA(20)]]+0.025*testdata[[#This Row],[SMA(20)]]</f>
        <v>236.4587875</v>
      </c>
      <c r="K118" s="8">
        <f>testdata[[#This Row],[SMA(20)]]-0.025*testdata[[#This Row],[SMA(20)]]</f>
        <v>224.92421249999998</v>
      </c>
      <c r="L118" s="16">
        <f>testdata[[#This Row],[close]]-testdata[[#This Row],[SMA(TW)]]</f>
        <v>3.2949999999999591</v>
      </c>
      <c r="M118"/>
    </row>
    <row r="119" spans="1:13" x14ac:dyDescent="0.25">
      <c r="A119" s="6">
        <v>118</v>
      </c>
      <c r="B119" s="3">
        <v>42907</v>
      </c>
      <c r="C119" s="2">
        <v>232.1</v>
      </c>
      <c r="D119" s="2">
        <v>232.26</v>
      </c>
      <c r="E119" s="2">
        <v>231.14</v>
      </c>
      <c r="F119" s="2">
        <v>231.65</v>
      </c>
      <c r="G119" s="1">
        <v>58707680</v>
      </c>
      <c r="H119" s="8">
        <f t="shared" si="2"/>
        <v>230.88499999999999</v>
      </c>
      <c r="I119" s="19">
        <f t="shared" si="3"/>
        <v>228.60050000000001</v>
      </c>
      <c r="J119" s="8">
        <f>testdata[[#This Row],[SMA(20)]]+0.025*testdata[[#This Row],[SMA(20)]]</f>
        <v>236.65712499999998</v>
      </c>
      <c r="K119" s="8">
        <f>testdata[[#This Row],[SMA(20)]]-0.025*testdata[[#This Row],[SMA(20)]]</f>
        <v>225.112875</v>
      </c>
      <c r="L119" s="16">
        <f>testdata[[#This Row],[close]]-testdata[[#This Row],[SMA(TW)]]</f>
        <v>3.0494999999999948</v>
      </c>
      <c r="M119"/>
    </row>
    <row r="120" spans="1:13" x14ac:dyDescent="0.25">
      <c r="A120" s="6">
        <v>119</v>
      </c>
      <c r="B120" s="3">
        <v>42908</v>
      </c>
      <c r="C120" s="2">
        <v>231.66</v>
      </c>
      <c r="D120" s="2">
        <v>232.21</v>
      </c>
      <c r="E120" s="2">
        <v>231.36</v>
      </c>
      <c r="F120" s="2">
        <v>231.55</v>
      </c>
      <c r="G120" s="1">
        <v>46301224</v>
      </c>
      <c r="H120" s="8">
        <f t="shared" si="2"/>
        <v>231.04700000000003</v>
      </c>
      <c r="I120" s="19">
        <f t="shared" si="3"/>
        <v>228.79149999999998</v>
      </c>
      <c r="J120" s="8">
        <f>testdata[[#This Row],[SMA(20)]]+0.025*testdata[[#This Row],[SMA(20)]]</f>
        <v>236.82317500000002</v>
      </c>
      <c r="K120" s="8">
        <f>testdata[[#This Row],[SMA(20)]]-0.025*testdata[[#This Row],[SMA(20)]]</f>
        <v>225.27082500000003</v>
      </c>
      <c r="L120" s="16">
        <f>testdata[[#This Row],[close]]-testdata[[#This Row],[SMA(TW)]]</f>
        <v>2.7585000000000264</v>
      </c>
      <c r="M120"/>
    </row>
    <row r="121" spans="1:13" x14ac:dyDescent="0.25">
      <c r="A121" s="6">
        <v>120</v>
      </c>
      <c r="B121" s="3">
        <v>42909</v>
      </c>
      <c r="C121" s="2">
        <v>231.61</v>
      </c>
      <c r="D121" s="2">
        <v>232.19</v>
      </c>
      <c r="E121" s="2">
        <v>231.19</v>
      </c>
      <c r="F121" s="2">
        <v>231.82</v>
      </c>
      <c r="G121" s="1">
        <v>70253848</v>
      </c>
      <c r="H121" s="8">
        <f t="shared" si="2"/>
        <v>231.16800000000003</v>
      </c>
      <c r="I121" s="19">
        <f t="shared" si="3"/>
        <v>228.99950000000004</v>
      </c>
      <c r="J121" s="8">
        <f>testdata[[#This Row],[SMA(20)]]+0.025*testdata[[#This Row],[SMA(20)]]</f>
        <v>236.94720000000004</v>
      </c>
      <c r="K121" s="8">
        <f>testdata[[#This Row],[SMA(20)]]-0.025*testdata[[#This Row],[SMA(20)]]</f>
        <v>225.38880000000003</v>
      </c>
      <c r="L121" s="16">
        <f>testdata[[#This Row],[close]]-testdata[[#This Row],[SMA(TW)]]</f>
        <v>2.8204999999999529</v>
      </c>
      <c r="M121"/>
    </row>
    <row r="122" spans="1:13" x14ac:dyDescent="0.25">
      <c r="A122" s="6">
        <v>121</v>
      </c>
      <c r="B122" s="3">
        <v>42912</v>
      </c>
      <c r="C122" s="2">
        <v>232.56</v>
      </c>
      <c r="D122" s="2">
        <v>233.02</v>
      </c>
      <c r="E122" s="2">
        <v>231.74</v>
      </c>
      <c r="F122" s="2">
        <v>231.98</v>
      </c>
      <c r="G122" s="1">
        <v>59465848</v>
      </c>
      <c r="H122" s="8">
        <f t="shared" si="2"/>
        <v>231.29949999999999</v>
      </c>
      <c r="I122" s="19">
        <f t="shared" si="3"/>
        <v>229.20150000000004</v>
      </c>
      <c r="J122" s="8">
        <f>testdata[[#This Row],[SMA(20)]]+0.025*testdata[[#This Row],[SMA(20)]]</f>
        <v>237.0819875</v>
      </c>
      <c r="K122" s="8">
        <f>testdata[[#This Row],[SMA(20)]]-0.025*testdata[[#This Row],[SMA(20)]]</f>
        <v>225.51701249999999</v>
      </c>
      <c r="L122" s="16">
        <f>testdata[[#This Row],[close]]-testdata[[#This Row],[SMA(TW)]]</f>
        <v>2.7784999999999513</v>
      </c>
      <c r="M122"/>
    </row>
    <row r="123" spans="1:13" x14ac:dyDescent="0.25">
      <c r="A123" s="6">
        <v>122</v>
      </c>
      <c r="B123" s="3">
        <v>42913</v>
      </c>
      <c r="C123" s="2">
        <v>231.74</v>
      </c>
      <c r="D123" s="2">
        <v>232.06</v>
      </c>
      <c r="E123" s="2">
        <v>230.09</v>
      </c>
      <c r="F123" s="2">
        <v>230.11</v>
      </c>
      <c r="G123" s="1">
        <v>86259016</v>
      </c>
      <c r="H123" s="8">
        <f t="shared" si="2"/>
        <v>231.3475</v>
      </c>
      <c r="I123" s="19">
        <f t="shared" si="3"/>
        <v>229.39900000000003</v>
      </c>
      <c r="J123" s="8">
        <f>testdata[[#This Row],[SMA(20)]]+0.025*testdata[[#This Row],[SMA(20)]]</f>
        <v>237.13118750000001</v>
      </c>
      <c r="K123" s="8">
        <f>testdata[[#This Row],[SMA(20)]]-0.025*testdata[[#This Row],[SMA(20)]]</f>
        <v>225.56381249999998</v>
      </c>
      <c r="L123" s="16">
        <f>testdata[[#This Row],[close]]-testdata[[#This Row],[SMA(TW)]]</f>
        <v>0.71099999999998431</v>
      </c>
      <c r="M123"/>
    </row>
    <row r="124" spans="1:13" x14ac:dyDescent="0.25">
      <c r="A124" s="6">
        <v>123</v>
      </c>
      <c r="B124" s="3">
        <v>42914</v>
      </c>
      <c r="C124" s="2">
        <v>231.22</v>
      </c>
      <c r="D124" s="2">
        <v>232.38</v>
      </c>
      <c r="E124" s="2">
        <v>230.97</v>
      </c>
      <c r="F124" s="2">
        <v>232.17</v>
      </c>
      <c r="G124" s="1">
        <v>73458688</v>
      </c>
      <c r="H124" s="8">
        <f t="shared" si="2"/>
        <v>231.50150000000002</v>
      </c>
      <c r="I124" s="19">
        <f t="shared" si="3"/>
        <v>229.77650000000003</v>
      </c>
      <c r="J124" s="8">
        <f>testdata[[#This Row],[SMA(20)]]+0.025*testdata[[#This Row],[SMA(20)]]</f>
        <v>237.28903750000003</v>
      </c>
      <c r="K124" s="8">
        <f>testdata[[#This Row],[SMA(20)]]-0.025*testdata[[#This Row],[SMA(20)]]</f>
        <v>225.71396250000001</v>
      </c>
      <c r="L124" s="16">
        <f>testdata[[#This Row],[close]]-testdata[[#This Row],[SMA(TW)]]</f>
        <v>2.3934999999999604</v>
      </c>
      <c r="M124"/>
    </row>
    <row r="125" spans="1:13" x14ac:dyDescent="0.25">
      <c r="A125" s="6">
        <v>124</v>
      </c>
      <c r="B125" s="3">
        <v>42915</v>
      </c>
      <c r="C125" s="2">
        <v>232.33</v>
      </c>
      <c r="D125" s="2">
        <v>232.39</v>
      </c>
      <c r="E125" s="2">
        <v>228.8</v>
      </c>
      <c r="F125" s="2">
        <v>230.13</v>
      </c>
      <c r="G125" s="1">
        <v>112165824</v>
      </c>
      <c r="H125" s="8">
        <f t="shared" si="2"/>
        <v>231.46200000000005</v>
      </c>
      <c r="I125" s="19">
        <f t="shared" si="3"/>
        <v>230.11150000000004</v>
      </c>
      <c r="J125" s="8">
        <f>testdata[[#This Row],[SMA(20)]]+0.025*testdata[[#This Row],[SMA(20)]]</f>
        <v>237.24855000000005</v>
      </c>
      <c r="K125" s="8">
        <f>testdata[[#This Row],[SMA(20)]]-0.025*testdata[[#This Row],[SMA(20)]]</f>
        <v>225.67545000000004</v>
      </c>
      <c r="L125" s="16">
        <f>testdata[[#This Row],[close]]-testdata[[#This Row],[SMA(TW)]]</f>
        <v>1.8499999999960437E-2</v>
      </c>
      <c r="M125"/>
    </row>
    <row r="126" spans="1:13" x14ac:dyDescent="0.25">
      <c r="A126" s="6">
        <v>125</v>
      </c>
      <c r="B126" s="3">
        <v>42916</v>
      </c>
      <c r="C126" s="2">
        <v>231.01</v>
      </c>
      <c r="D126" s="2">
        <v>231.42</v>
      </c>
      <c r="E126" s="2">
        <v>230.34</v>
      </c>
      <c r="F126" s="2">
        <v>230.56</v>
      </c>
      <c r="G126" s="1">
        <v>91055080</v>
      </c>
      <c r="H126" s="8">
        <f t="shared" si="2"/>
        <v>231.40550000000007</v>
      </c>
      <c r="I126" s="19">
        <f t="shared" si="3"/>
        <v>230.46950000000001</v>
      </c>
      <c r="J126" s="8">
        <f>testdata[[#This Row],[SMA(20)]]+0.025*testdata[[#This Row],[SMA(20)]]</f>
        <v>237.19063750000007</v>
      </c>
      <c r="K126" s="8">
        <f>testdata[[#This Row],[SMA(20)]]-0.025*testdata[[#This Row],[SMA(20)]]</f>
        <v>225.62036250000008</v>
      </c>
      <c r="L126" s="16">
        <f>testdata[[#This Row],[close]]-testdata[[#This Row],[SMA(TW)]]</f>
        <v>9.0499999999991587E-2</v>
      </c>
      <c r="M126"/>
    </row>
    <row r="127" spans="1:13" x14ac:dyDescent="0.25">
      <c r="A127" s="6">
        <v>126</v>
      </c>
      <c r="B127" s="3">
        <v>42919</v>
      </c>
      <c r="C127" s="2">
        <v>231.59</v>
      </c>
      <c r="D127" s="2">
        <v>232.06</v>
      </c>
      <c r="E127" s="2">
        <v>230.95</v>
      </c>
      <c r="F127" s="2">
        <v>230.95</v>
      </c>
      <c r="G127" s="1">
        <v>41063396</v>
      </c>
      <c r="H127" s="8">
        <f t="shared" si="2"/>
        <v>231.37750000000005</v>
      </c>
      <c r="I127" s="19">
        <f t="shared" si="3"/>
        <v>230.69149999999999</v>
      </c>
      <c r="J127" s="8">
        <f>testdata[[#This Row],[SMA(20)]]+0.025*testdata[[#This Row],[SMA(20)]]</f>
        <v>237.16193750000005</v>
      </c>
      <c r="K127" s="8">
        <f>testdata[[#This Row],[SMA(20)]]-0.025*testdata[[#This Row],[SMA(20)]]</f>
        <v>225.59306250000006</v>
      </c>
      <c r="L127" s="16">
        <f>testdata[[#This Row],[close]]-testdata[[#This Row],[SMA(TW)]]</f>
        <v>0.25849999999999795</v>
      </c>
      <c r="M127"/>
    </row>
    <row r="128" spans="1:13" x14ac:dyDescent="0.25">
      <c r="A128" s="6">
        <v>127</v>
      </c>
      <c r="B128" s="3">
        <v>42921</v>
      </c>
      <c r="C128" s="2">
        <v>231.35</v>
      </c>
      <c r="D128" s="2">
        <v>231.71</v>
      </c>
      <c r="E128" s="2">
        <v>230.46</v>
      </c>
      <c r="F128" s="2">
        <v>231.48</v>
      </c>
      <c r="G128" s="1">
        <v>57082112</v>
      </c>
      <c r="H128" s="8">
        <f t="shared" si="2"/>
        <v>231.41300000000001</v>
      </c>
      <c r="I128" s="19">
        <f t="shared" si="3"/>
        <v>230.88499999999999</v>
      </c>
      <c r="J128" s="8">
        <f>testdata[[#This Row],[SMA(20)]]+0.025*testdata[[#This Row],[SMA(20)]]</f>
        <v>237.19832500000001</v>
      </c>
      <c r="K128" s="8">
        <f>testdata[[#This Row],[SMA(20)]]-0.025*testdata[[#This Row],[SMA(20)]]</f>
        <v>225.62767500000001</v>
      </c>
      <c r="L128" s="16">
        <f>testdata[[#This Row],[close]]-testdata[[#This Row],[SMA(TW)]]</f>
        <v>0.59499999999999886</v>
      </c>
      <c r="M128"/>
    </row>
    <row r="129" spans="1:13" x14ac:dyDescent="0.25">
      <c r="A129" s="6">
        <v>128</v>
      </c>
      <c r="B129" s="3">
        <v>42922</v>
      </c>
      <c r="C129" s="2">
        <v>230.64</v>
      </c>
      <c r="D129" s="2">
        <v>230.77</v>
      </c>
      <c r="E129" s="2">
        <v>229.16</v>
      </c>
      <c r="F129" s="2">
        <v>229.36</v>
      </c>
      <c r="G129" s="1">
        <v>69339864</v>
      </c>
      <c r="H129" s="8">
        <f t="shared" si="2"/>
        <v>231.321</v>
      </c>
      <c r="I129" s="19">
        <f t="shared" si="3"/>
        <v>231.04700000000003</v>
      </c>
      <c r="J129" s="8">
        <f>testdata[[#This Row],[SMA(20)]]+0.025*testdata[[#This Row],[SMA(20)]]</f>
        <v>237.10402500000001</v>
      </c>
      <c r="K129" s="8">
        <f>testdata[[#This Row],[SMA(20)]]-0.025*testdata[[#This Row],[SMA(20)]]</f>
        <v>225.53797499999999</v>
      </c>
      <c r="L129" s="16">
        <f>testdata[[#This Row],[close]]-testdata[[#This Row],[SMA(TW)]]</f>
        <v>-1.6870000000000118</v>
      </c>
      <c r="M129"/>
    </row>
    <row r="130" spans="1:13" x14ac:dyDescent="0.25">
      <c r="A130" s="6">
        <v>129</v>
      </c>
      <c r="B130" s="3">
        <v>42923</v>
      </c>
      <c r="C130" s="2">
        <v>229.99</v>
      </c>
      <c r="D130" s="2">
        <v>231.01</v>
      </c>
      <c r="E130" s="2">
        <v>229.38</v>
      </c>
      <c r="F130" s="2">
        <v>230.85</v>
      </c>
      <c r="G130" s="1">
        <v>60799664</v>
      </c>
      <c r="H130" s="8">
        <f t="shared" si="2"/>
        <v>231.29749999999999</v>
      </c>
      <c r="I130" s="19">
        <f t="shared" si="3"/>
        <v>231.16800000000003</v>
      </c>
      <c r="J130" s="8">
        <f>testdata[[#This Row],[SMA(20)]]+0.025*testdata[[#This Row],[SMA(20)]]</f>
        <v>237.07993749999997</v>
      </c>
      <c r="K130" s="8">
        <f>testdata[[#This Row],[SMA(20)]]-0.025*testdata[[#This Row],[SMA(20)]]</f>
        <v>225.5150625</v>
      </c>
      <c r="L130" s="16">
        <f>testdata[[#This Row],[close]]-testdata[[#This Row],[SMA(TW)]]</f>
        <v>-0.31800000000004047</v>
      </c>
      <c r="M130"/>
    </row>
    <row r="131" spans="1:13" x14ac:dyDescent="0.25">
      <c r="A131" s="6">
        <v>130</v>
      </c>
      <c r="B131" s="3">
        <v>42926</v>
      </c>
      <c r="C131" s="2">
        <v>230.7</v>
      </c>
      <c r="D131" s="2">
        <v>231.51</v>
      </c>
      <c r="E131" s="2">
        <v>230.52</v>
      </c>
      <c r="F131" s="2">
        <v>231.1</v>
      </c>
      <c r="G131" s="1">
        <v>38451396</v>
      </c>
      <c r="H131" s="8">
        <f t="shared" si="2"/>
        <v>231.30450000000005</v>
      </c>
      <c r="I131" s="19">
        <f t="shared" si="3"/>
        <v>231.29949999999999</v>
      </c>
      <c r="J131" s="8">
        <f>testdata[[#This Row],[SMA(20)]]+0.025*testdata[[#This Row],[SMA(20)]]</f>
        <v>237.08711250000005</v>
      </c>
      <c r="K131" s="8">
        <f>testdata[[#This Row],[SMA(20)]]-0.025*testdata[[#This Row],[SMA(20)]]</f>
        <v>225.52188750000005</v>
      </c>
      <c r="L131" s="16">
        <f>testdata[[#This Row],[close]]-testdata[[#This Row],[SMA(TW)]]</f>
        <v>-0.19950000000000045</v>
      </c>
      <c r="M131"/>
    </row>
    <row r="132" spans="1:13" x14ac:dyDescent="0.25">
      <c r="A132" s="6">
        <v>131</v>
      </c>
      <c r="B132" s="3">
        <v>42927</v>
      </c>
      <c r="C132" s="2">
        <v>230.9</v>
      </c>
      <c r="D132" s="2">
        <v>231.27</v>
      </c>
      <c r="E132" s="2">
        <v>229.65</v>
      </c>
      <c r="F132" s="2">
        <v>230.93</v>
      </c>
      <c r="G132" s="1">
        <v>52810484</v>
      </c>
      <c r="H132" s="8">
        <f t="shared" si="2"/>
        <v>231.30500000000006</v>
      </c>
      <c r="I132" s="19">
        <f t="shared" si="3"/>
        <v>231.3475</v>
      </c>
      <c r="J132" s="8">
        <f>testdata[[#This Row],[SMA(20)]]+0.025*testdata[[#This Row],[SMA(20)]]</f>
        <v>237.08762500000006</v>
      </c>
      <c r="K132" s="8">
        <f>testdata[[#This Row],[SMA(20)]]-0.025*testdata[[#This Row],[SMA(20)]]</f>
        <v>225.52237500000007</v>
      </c>
      <c r="L132" s="16">
        <f>testdata[[#This Row],[close]]-testdata[[#This Row],[SMA(TW)]]</f>
        <v>-0.41749999999998977</v>
      </c>
      <c r="M132"/>
    </row>
    <row r="133" spans="1:13" x14ac:dyDescent="0.25">
      <c r="A133" s="6">
        <v>132</v>
      </c>
      <c r="B133" s="3">
        <v>42928</v>
      </c>
      <c r="C133" s="2">
        <v>231.99</v>
      </c>
      <c r="D133" s="2">
        <v>232.84</v>
      </c>
      <c r="E133" s="2">
        <v>231.99</v>
      </c>
      <c r="F133" s="2">
        <v>232.66</v>
      </c>
      <c r="G133" s="1">
        <v>62517696</v>
      </c>
      <c r="H133" s="8">
        <f t="shared" si="2"/>
        <v>231.3355</v>
      </c>
      <c r="I133" s="19">
        <f t="shared" si="3"/>
        <v>231.50150000000002</v>
      </c>
      <c r="J133" s="8">
        <f>testdata[[#This Row],[SMA(20)]]+0.025*testdata[[#This Row],[SMA(20)]]</f>
        <v>237.1188875</v>
      </c>
      <c r="K133" s="8">
        <f>testdata[[#This Row],[SMA(20)]]-0.025*testdata[[#This Row],[SMA(20)]]</f>
        <v>225.55211249999999</v>
      </c>
      <c r="L133" s="16">
        <f>testdata[[#This Row],[close]]-testdata[[#This Row],[SMA(TW)]]</f>
        <v>1.1584999999999752</v>
      </c>
      <c r="M133"/>
    </row>
    <row r="134" spans="1:13" x14ac:dyDescent="0.25">
      <c r="A134" s="6">
        <v>133</v>
      </c>
      <c r="B134" s="3">
        <v>42929</v>
      </c>
      <c r="C134" s="2">
        <v>232.67</v>
      </c>
      <c r="D134" s="2">
        <v>233.18</v>
      </c>
      <c r="E134" s="2">
        <v>232.42</v>
      </c>
      <c r="F134" s="2">
        <v>233.05</v>
      </c>
      <c r="G134" s="1">
        <v>41396728</v>
      </c>
      <c r="H134" s="8">
        <f t="shared" si="2"/>
        <v>231.40050000000002</v>
      </c>
      <c r="I134" s="19">
        <f t="shared" si="3"/>
        <v>231.46200000000005</v>
      </c>
      <c r="J134" s="8">
        <f>testdata[[#This Row],[SMA(20)]]+0.025*testdata[[#This Row],[SMA(20)]]</f>
        <v>237.18551250000002</v>
      </c>
      <c r="K134" s="8">
        <f>testdata[[#This Row],[SMA(20)]]-0.025*testdata[[#This Row],[SMA(20)]]</f>
        <v>225.61548750000003</v>
      </c>
      <c r="L134" s="16">
        <f>testdata[[#This Row],[close]]-testdata[[#This Row],[SMA(TW)]]</f>
        <v>1.5879999999999654</v>
      </c>
      <c r="M134"/>
    </row>
    <row r="135" spans="1:13" x14ac:dyDescent="0.25">
      <c r="A135" s="6">
        <v>134</v>
      </c>
      <c r="B135" s="3">
        <v>42930</v>
      </c>
      <c r="C135" s="2">
        <v>233.06</v>
      </c>
      <c r="D135" s="2">
        <v>234.53</v>
      </c>
      <c r="E135" s="2">
        <v>232.95</v>
      </c>
      <c r="F135" s="2">
        <v>234.14</v>
      </c>
      <c r="G135" s="1">
        <v>63201796</v>
      </c>
      <c r="H135" s="8">
        <f t="shared" si="2"/>
        <v>231.542</v>
      </c>
      <c r="I135" s="19">
        <f t="shared" si="3"/>
        <v>231.40550000000007</v>
      </c>
      <c r="J135" s="8">
        <f>testdata[[#This Row],[SMA(20)]]+0.025*testdata[[#This Row],[SMA(20)]]</f>
        <v>237.33055000000002</v>
      </c>
      <c r="K135" s="8">
        <f>testdata[[#This Row],[SMA(20)]]-0.025*testdata[[#This Row],[SMA(20)]]</f>
        <v>225.75344999999999</v>
      </c>
      <c r="L135" s="16">
        <f>testdata[[#This Row],[close]]-testdata[[#This Row],[SMA(TW)]]</f>
        <v>2.7344999999999118</v>
      </c>
      <c r="M135"/>
    </row>
    <row r="136" spans="1:13" x14ac:dyDescent="0.25">
      <c r="A136" s="6">
        <v>135</v>
      </c>
      <c r="B136" s="3">
        <v>42933</v>
      </c>
      <c r="C136" s="2">
        <v>234.05</v>
      </c>
      <c r="D136" s="2">
        <v>234.47</v>
      </c>
      <c r="E136" s="2">
        <v>233.92</v>
      </c>
      <c r="F136" s="2">
        <v>234.11</v>
      </c>
      <c r="G136" s="1">
        <v>35167316</v>
      </c>
      <c r="H136" s="8">
        <f t="shared" si="2"/>
        <v>231.67949999999996</v>
      </c>
      <c r="I136" s="19">
        <f t="shared" si="3"/>
        <v>231.37750000000005</v>
      </c>
      <c r="J136" s="8">
        <f>testdata[[#This Row],[SMA(20)]]+0.025*testdata[[#This Row],[SMA(20)]]</f>
        <v>237.47148749999997</v>
      </c>
      <c r="K136" s="8">
        <f>testdata[[#This Row],[SMA(20)]]-0.025*testdata[[#This Row],[SMA(20)]]</f>
        <v>225.88751249999996</v>
      </c>
      <c r="L136" s="16">
        <f>testdata[[#This Row],[close]]-testdata[[#This Row],[SMA(TW)]]</f>
        <v>2.7324999999999591</v>
      </c>
      <c r="M136"/>
    </row>
    <row r="137" spans="1:13" x14ac:dyDescent="0.25">
      <c r="A137" s="6">
        <v>136</v>
      </c>
      <c r="B137" s="3">
        <v>42934</v>
      </c>
      <c r="C137" s="2">
        <v>233.66</v>
      </c>
      <c r="D137" s="2">
        <v>234.29</v>
      </c>
      <c r="E137" s="2">
        <v>233.29</v>
      </c>
      <c r="F137" s="2">
        <v>234.24</v>
      </c>
      <c r="G137" s="1">
        <v>44827112</v>
      </c>
      <c r="H137" s="8">
        <f t="shared" si="2"/>
        <v>231.72749999999996</v>
      </c>
      <c r="I137" s="19">
        <f t="shared" si="3"/>
        <v>231.41300000000001</v>
      </c>
      <c r="J137" s="8">
        <f>testdata[[#This Row],[SMA(20)]]+0.025*testdata[[#This Row],[SMA(20)]]</f>
        <v>237.52068749999995</v>
      </c>
      <c r="K137" s="8">
        <f>testdata[[#This Row],[SMA(20)]]-0.025*testdata[[#This Row],[SMA(20)]]</f>
        <v>225.93431249999998</v>
      </c>
      <c r="L137" s="16">
        <f>testdata[[#This Row],[close]]-testdata[[#This Row],[SMA(TW)]]</f>
        <v>2.8269999999999982</v>
      </c>
      <c r="M137"/>
    </row>
    <row r="138" spans="1:13" x14ac:dyDescent="0.25">
      <c r="A138" s="6">
        <v>137</v>
      </c>
      <c r="B138" s="3">
        <v>42935</v>
      </c>
      <c r="C138" s="2">
        <v>234.58</v>
      </c>
      <c r="D138" s="2">
        <v>235.51</v>
      </c>
      <c r="E138" s="2">
        <v>234.57</v>
      </c>
      <c r="F138" s="2">
        <v>235.5</v>
      </c>
      <c r="G138" s="1">
        <v>53523280</v>
      </c>
      <c r="H138" s="8">
        <f t="shared" si="2"/>
        <v>231.91699999999997</v>
      </c>
      <c r="I138" s="19">
        <f t="shared" si="3"/>
        <v>231.321</v>
      </c>
      <c r="J138" s="8">
        <f>testdata[[#This Row],[SMA(20)]]+0.025*testdata[[#This Row],[SMA(20)]]</f>
        <v>237.71492499999997</v>
      </c>
      <c r="K138" s="8">
        <f>testdata[[#This Row],[SMA(20)]]-0.025*testdata[[#This Row],[SMA(20)]]</f>
        <v>226.11907499999998</v>
      </c>
      <c r="L138" s="16">
        <f>testdata[[#This Row],[close]]-testdata[[#This Row],[SMA(TW)]]</f>
        <v>4.179000000000002</v>
      </c>
      <c r="M138"/>
    </row>
    <row r="139" spans="1:13" x14ac:dyDescent="0.25">
      <c r="A139" s="6">
        <v>138</v>
      </c>
      <c r="B139" s="3">
        <v>42936</v>
      </c>
      <c r="C139" s="2">
        <v>235.78</v>
      </c>
      <c r="D139" s="2">
        <v>235.91</v>
      </c>
      <c r="E139" s="2">
        <v>235.01</v>
      </c>
      <c r="F139" s="2">
        <v>235.61</v>
      </c>
      <c r="G139" s="1">
        <v>49434036</v>
      </c>
      <c r="H139" s="8">
        <f t="shared" si="2"/>
        <v>232.11499999999995</v>
      </c>
      <c r="I139" s="19">
        <f t="shared" si="3"/>
        <v>231.29749999999999</v>
      </c>
      <c r="J139" s="8">
        <f>testdata[[#This Row],[SMA(20)]]+0.025*testdata[[#This Row],[SMA(20)]]</f>
        <v>237.91787499999995</v>
      </c>
      <c r="K139" s="8">
        <f>testdata[[#This Row],[SMA(20)]]-0.025*testdata[[#This Row],[SMA(20)]]</f>
        <v>226.31212499999995</v>
      </c>
      <c r="L139" s="16">
        <f>testdata[[#This Row],[close]]-testdata[[#This Row],[SMA(TW)]]</f>
        <v>4.3125000000000284</v>
      </c>
      <c r="M139"/>
    </row>
    <row r="140" spans="1:13" x14ac:dyDescent="0.25">
      <c r="A140" s="6">
        <v>139</v>
      </c>
      <c r="B140" s="3">
        <v>42937</v>
      </c>
      <c r="C140" s="2">
        <v>234.98</v>
      </c>
      <c r="D140" s="2">
        <v>235.43</v>
      </c>
      <c r="E140" s="2">
        <v>234.73</v>
      </c>
      <c r="F140" s="2">
        <v>235.4</v>
      </c>
      <c r="G140" s="1">
        <v>93037592</v>
      </c>
      <c r="H140" s="8">
        <f t="shared" si="2"/>
        <v>232.30749999999995</v>
      </c>
      <c r="I140" s="19">
        <f t="shared" si="3"/>
        <v>231.30450000000005</v>
      </c>
      <c r="J140" s="8">
        <f>testdata[[#This Row],[SMA(20)]]+0.025*testdata[[#This Row],[SMA(20)]]</f>
        <v>238.11518749999993</v>
      </c>
      <c r="K140" s="8">
        <f>testdata[[#This Row],[SMA(20)]]-0.025*testdata[[#This Row],[SMA(20)]]</f>
        <v>226.49981249999996</v>
      </c>
      <c r="L140" s="16">
        <f>testdata[[#This Row],[close]]-testdata[[#This Row],[SMA(TW)]]</f>
        <v>4.0954999999999586</v>
      </c>
      <c r="M140"/>
    </row>
    <row r="141" spans="1:13" x14ac:dyDescent="0.25">
      <c r="A141" s="6">
        <v>140</v>
      </c>
      <c r="B141" s="3">
        <v>42940</v>
      </c>
      <c r="C141" s="2">
        <v>235.31</v>
      </c>
      <c r="D141" s="2">
        <v>235.49</v>
      </c>
      <c r="E141" s="2">
        <v>234.83</v>
      </c>
      <c r="F141" s="2">
        <v>235.34</v>
      </c>
      <c r="G141" s="1">
        <v>48896096</v>
      </c>
      <c r="H141" s="8">
        <f t="shared" si="2"/>
        <v>232.48349999999996</v>
      </c>
      <c r="I141" s="19">
        <f t="shared" si="3"/>
        <v>231.30500000000006</v>
      </c>
      <c r="J141" s="8">
        <f>testdata[[#This Row],[SMA(20)]]+0.025*testdata[[#This Row],[SMA(20)]]</f>
        <v>238.29558749999995</v>
      </c>
      <c r="K141" s="8">
        <f>testdata[[#This Row],[SMA(20)]]-0.025*testdata[[#This Row],[SMA(20)]]</f>
        <v>226.67141249999997</v>
      </c>
      <c r="L141" s="16">
        <f>testdata[[#This Row],[close]]-testdata[[#This Row],[SMA(TW)]]</f>
        <v>4.0349999999999397</v>
      </c>
      <c r="M141"/>
    </row>
    <row r="142" spans="1:13" x14ac:dyDescent="0.25">
      <c r="A142" s="6">
        <v>141</v>
      </c>
      <c r="B142" s="3">
        <v>42941</v>
      </c>
      <c r="C142" s="2">
        <v>236.16</v>
      </c>
      <c r="D142" s="2">
        <v>236.28</v>
      </c>
      <c r="E142" s="2">
        <v>235.67</v>
      </c>
      <c r="F142" s="2">
        <v>235.91</v>
      </c>
      <c r="G142" s="1">
        <v>57593908</v>
      </c>
      <c r="H142" s="8">
        <f t="shared" si="2"/>
        <v>232.68</v>
      </c>
      <c r="I142" s="19">
        <f t="shared" si="3"/>
        <v>231.3355</v>
      </c>
      <c r="J142" s="8">
        <f>testdata[[#This Row],[SMA(20)]]+0.025*testdata[[#This Row],[SMA(20)]]</f>
        <v>238.49700000000001</v>
      </c>
      <c r="K142" s="8">
        <f>testdata[[#This Row],[SMA(20)]]-0.025*testdata[[#This Row],[SMA(20)]]</f>
        <v>226.863</v>
      </c>
      <c r="L142" s="16">
        <f>testdata[[#This Row],[close]]-testdata[[#This Row],[SMA(TW)]]</f>
        <v>4.5745000000000005</v>
      </c>
      <c r="M142"/>
    </row>
    <row r="143" spans="1:13" x14ac:dyDescent="0.25">
      <c r="A143" s="6">
        <v>142</v>
      </c>
      <c r="B143" s="3">
        <v>42942</v>
      </c>
      <c r="C143" s="2">
        <v>236.23</v>
      </c>
      <c r="D143" s="2">
        <v>236.27</v>
      </c>
      <c r="E143" s="2">
        <v>235.64</v>
      </c>
      <c r="F143" s="2">
        <v>235.92</v>
      </c>
      <c r="G143" s="1">
        <v>49895744</v>
      </c>
      <c r="H143" s="8">
        <f t="shared" si="2"/>
        <v>232.97049999999999</v>
      </c>
      <c r="I143" s="19">
        <f t="shared" si="3"/>
        <v>231.40050000000002</v>
      </c>
      <c r="J143" s="8">
        <f>testdata[[#This Row],[SMA(20)]]+0.025*testdata[[#This Row],[SMA(20)]]</f>
        <v>238.79476249999999</v>
      </c>
      <c r="K143" s="8">
        <f>testdata[[#This Row],[SMA(20)]]-0.025*testdata[[#This Row],[SMA(20)]]</f>
        <v>227.14623749999998</v>
      </c>
      <c r="L143" s="16">
        <f>testdata[[#This Row],[close]]-testdata[[#This Row],[SMA(TW)]]</f>
        <v>4.5194999999999652</v>
      </c>
      <c r="M143"/>
    </row>
    <row r="144" spans="1:13" x14ac:dyDescent="0.25">
      <c r="A144" s="6">
        <v>143</v>
      </c>
      <c r="B144" s="3">
        <v>42943</v>
      </c>
      <c r="C144" s="2">
        <v>236.43</v>
      </c>
      <c r="D144" s="2">
        <v>236.47</v>
      </c>
      <c r="E144" s="2">
        <v>234.26</v>
      </c>
      <c r="F144" s="2">
        <v>235.7</v>
      </c>
      <c r="G144" s="1">
        <v>74217968</v>
      </c>
      <c r="H144" s="8">
        <f t="shared" si="2"/>
        <v>233.14700000000002</v>
      </c>
      <c r="I144" s="19">
        <f t="shared" si="3"/>
        <v>231.542</v>
      </c>
      <c r="J144" s="8">
        <f>testdata[[#This Row],[SMA(20)]]+0.025*testdata[[#This Row],[SMA(20)]]</f>
        <v>238.97567500000002</v>
      </c>
      <c r="K144" s="8">
        <f>testdata[[#This Row],[SMA(20)]]-0.025*testdata[[#This Row],[SMA(20)]]</f>
        <v>227.31832500000002</v>
      </c>
      <c r="L144" s="16">
        <f>testdata[[#This Row],[close]]-testdata[[#This Row],[SMA(TW)]]</f>
        <v>4.157999999999987</v>
      </c>
      <c r="M144"/>
    </row>
    <row r="145" spans="1:13" x14ac:dyDescent="0.25">
      <c r="A145" s="6">
        <v>144</v>
      </c>
      <c r="B145" s="3">
        <v>42944</v>
      </c>
      <c r="C145" s="2">
        <v>235.18</v>
      </c>
      <c r="D145" s="2">
        <v>235.57</v>
      </c>
      <c r="E145" s="2">
        <v>234.68</v>
      </c>
      <c r="F145" s="2">
        <v>235.43</v>
      </c>
      <c r="G145" s="1">
        <v>52531244</v>
      </c>
      <c r="H145" s="8">
        <f t="shared" si="2"/>
        <v>233.41200000000003</v>
      </c>
      <c r="I145" s="19">
        <f t="shared" si="3"/>
        <v>231.67949999999996</v>
      </c>
      <c r="J145" s="8">
        <f>testdata[[#This Row],[SMA(20)]]+0.025*testdata[[#This Row],[SMA(20)]]</f>
        <v>239.24730000000002</v>
      </c>
      <c r="K145" s="8">
        <f>testdata[[#This Row],[SMA(20)]]-0.025*testdata[[#This Row],[SMA(20)]]</f>
        <v>227.57670000000005</v>
      </c>
      <c r="L145" s="16">
        <f>testdata[[#This Row],[close]]-testdata[[#This Row],[SMA(TW)]]</f>
        <v>3.750500000000045</v>
      </c>
      <c r="M145"/>
    </row>
    <row r="146" spans="1:13" x14ac:dyDescent="0.25">
      <c r="A146" s="6">
        <v>145</v>
      </c>
      <c r="B146" s="3">
        <v>42947</v>
      </c>
      <c r="C146" s="2">
        <v>235.87</v>
      </c>
      <c r="D146" s="2">
        <v>235.97</v>
      </c>
      <c r="E146" s="2">
        <v>235.07</v>
      </c>
      <c r="F146" s="2">
        <v>235.29</v>
      </c>
      <c r="G146" s="1">
        <v>69049712</v>
      </c>
      <c r="H146" s="8">
        <f t="shared" si="2"/>
        <v>233.64850000000001</v>
      </c>
      <c r="I146" s="19">
        <f t="shared" si="3"/>
        <v>231.72749999999996</v>
      </c>
      <c r="J146" s="8">
        <f>testdata[[#This Row],[SMA(20)]]+0.025*testdata[[#This Row],[SMA(20)]]</f>
        <v>239.48971250000002</v>
      </c>
      <c r="K146" s="8">
        <f>testdata[[#This Row],[SMA(20)]]-0.025*testdata[[#This Row],[SMA(20)]]</f>
        <v>227.8072875</v>
      </c>
      <c r="L146" s="16">
        <f>testdata[[#This Row],[close]]-testdata[[#This Row],[SMA(TW)]]</f>
        <v>3.5625000000000284</v>
      </c>
      <c r="M146"/>
    </row>
    <row r="147" spans="1:13" x14ac:dyDescent="0.25">
      <c r="A147" s="6">
        <v>146</v>
      </c>
      <c r="B147" s="3">
        <v>42948</v>
      </c>
      <c r="C147" s="2">
        <v>235.95</v>
      </c>
      <c r="D147" s="2">
        <v>235.99</v>
      </c>
      <c r="E147" s="2">
        <v>235.24</v>
      </c>
      <c r="F147" s="2">
        <v>235.82</v>
      </c>
      <c r="G147" s="1">
        <v>57735292</v>
      </c>
      <c r="H147" s="8">
        <f t="shared" si="2"/>
        <v>233.892</v>
      </c>
      <c r="I147" s="19">
        <f t="shared" si="3"/>
        <v>231.91699999999997</v>
      </c>
      <c r="J147" s="8">
        <f>testdata[[#This Row],[SMA(20)]]+0.025*testdata[[#This Row],[SMA(20)]]</f>
        <v>239.73929999999999</v>
      </c>
      <c r="K147" s="8">
        <f>testdata[[#This Row],[SMA(20)]]-0.025*testdata[[#This Row],[SMA(20)]]</f>
        <v>228.04470000000001</v>
      </c>
      <c r="L147" s="16">
        <f>testdata[[#This Row],[close]]-testdata[[#This Row],[SMA(TW)]]</f>
        <v>3.90300000000002</v>
      </c>
      <c r="M147"/>
    </row>
    <row r="148" spans="1:13" x14ac:dyDescent="0.25">
      <c r="A148" s="6">
        <v>147</v>
      </c>
      <c r="B148" s="3">
        <v>42949</v>
      </c>
      <c r="C148" s="2">
        <v>235.96</v>
      </c>
      <c r="D148" s="2">
        <v>236.09</v>
      </c>
      <c r="E148" s="2">
        <v>234.91</v>
      </c>
      <c r="F148" s="2">
        <v>235.93</v>
      </c>
      <c r="G148" s="1">
        <v>49513776</v>
      </c>
      <c r="H148" s="8">
        <f t="shared" si="2"/>
        <v>234.11450000000005</v>
      </c>
      <c r="I148" s="19">
        <f t="shared" si="3"/>
        <v>232.11499999999995</v>
      </c>
      <c r="J148" s="8">
        <f>testdata[[#This Row],[SMA(20)]]+0.025*testdata[[#This Row],[SMA(20)]]</f>
        <v>239.96736250000006</v>
      </c>
      <c r="K148" s="8">
        <f>testdata[[#This Row],[SMA(20)]]-0.025*testdata[[#This Row],[SMA(20)]]</f>
        <v>228.26163750000003</v>
      </c>
      <c r="L148" s="16">
        <f>testdata[[#This Row],[close]]-testdata[[#This Row],[SMA(TW)]]</f>
        <v>3.8150000000000546</v>
      </c>
      <c r="M148"/>
    </row>
    <row r="149" spans="1:13" x14ac:dyDescent="0.25">
      <c r="A149" s="6">
        <v>148</v>
      </c>
      <c r="B149" s="3">
        <v>42950</v>
      </c>
      <c r="C149" s="2">
        <v>235.81</v>
      </c>
      <c r="D149" s="2">
        <v>235.84</v>
      </c>
      <c r="E149" s="2">
        <v>235.17</v>
      </c>
      <c r="F149" s="2">
        <v>235.48</v>
      </c>
      <c r="G149" s="1">
        <v>42848608</v>
      </c>
      <c r="H149" s="8">
        <f t="shared" si="2"/>
        <v>234.4205</v>
      </c>
      <c r="I149" s="19">
        <f t="shared" si="3"/>
        <v>232.30749999999995</v>
      </c>
      <c r="J149" s="8">
        <f>testdata[[#This Row],[SMA(20)]]+0.025*testdata[[#This Row],[SMA(20)]]</f>
        <v>240.2810125</v>
      </c>
      <c r="K149" s="8">
        <f>testdata[[#This Row],[SMA(20)]]-0.025*testdata[[#This Row],[SMA(20)]]</f>
        <v>228.55998750000001</v>
      </c>
      <c r="L149" s="16">
        <f>testdata[[#This Row],[close]]-testdata[[#This Row],[SMA(TW)]]</f>
        <v>3.1725000000000421</v>
      </c>
      <c r="M149"/>
    </row>
    <row r="150" spans="1:13" x14ac:dyDescent="0.25">
      <c r="A150" s="6">
        <v>149</v>
      </c>
      <c r="B150" s="3">
        <v>42951</v>
      </c>
      <c r="C150" s="2">
        <v>236.01</v>
      </c>
      <c r="D150" s="2">
        <v>236.27</v>
      </c>
      <c r="E150" s="2">
        <v>235.49</v>
      </c>
      <c r="F150" s="2">
        <v>235.9</v>
      </c>
      <c r="G150" s="1">
        <v>63127488</v>
      </c>
      <c r="H150" s="8">
        <f t="shared" ref="H150:H213" si="4">AVERAGE(F131:F150)</f>
        <v>234.67299999999994</v>
      </c>
      <c r="I150" s="19">
        <f t="shared" si="3"/>
        <v>232.48349999999996</v>
      </c>
      <c r="J150" s="8">
        <f>testdata[[#This Row],[SMA(20)]]+0.025*testdata[[#This Row],[SMA(20)]]</f>
        <v>240.53982499999995</v>
      </c>
      <c r="K150" s="8">
        <f>testdata[[#This Row],[SMA(20)]]-0.025*testdata[[#This Row],[SMA(20)]]</f>
        <v>228.80617499999994</v>
      </c>
      <c r="L150" s="16">
        <f>testdata[[#This Row],[close]]-testdata[[#This Row],[SMA(TW)]]</f>
        <v>3.4165000000000418</v>
      </c>
      <c r="M150"/>
    </row>
    <row r="151" spans="1:13" x14ac:dyDescent="0.25">
      <c r="A151" s="6">
        <v>150</v>
      </c>
      <c r="B151" s="3">
        <v>42954</v>
      </c>
      <c r="C151" s="2">
        <v>235.98</v>
      </c>
      <c r="D151" s="2">
        <v>236.34</v>
      </c>
      <c r="E151" s="2">
        <v>235.87</v>
      </c>
      <c r="F151" s="2">
        <v>236.34</v>
      </c>
      <c r="G151" s="1">
        <v>33555464</v>
      </c>
      <c r="H151" s="8">
        <f t="shared" si="4"/>
        <v>234.935</v>
      </c>
      <c r="I151" s="19">
        <f t="shared" si="3"/>
        <v>232.68</v>
      </c>
      <c r="J151" s="8">
        <f>testdata[[#This Row],[SMA(20)]]+0.025*testdata[[#This Row],[SMA(20)]]</f>
        <v>240.80837500000001</v>
      </c>
      <c r="K151" s="8">
        <f>testdata[[#This Row],[SMA(20)]]-0.025*testdata[[#This Row],[SMA(20)]]</f>
        <v>229.06162499999999</v>
      </c>
      <c r="L151" s="16">
        <f>testdata[[#This Row],[close]]-testdata[[#This Row],[SMA(TW)]]</f>
        <v>3.6599999999999966</v>
      </c>
      <c r="M151"/>
    </row>
    <row r="152" spans="1:13" x14ac:dyDescent="0.25">
      <c r="A152" s="6">
        <v>151</v>
      </c>
      <c r="B152" s="3">
        <v>42955</v>
      </c>
      <c r="C152" s="2">
        <v>236</v>
      </c>
      <c r="D152" s="2">
        <v>237.33</v>
      </c>
      <c r="E152" s="2">
        <v>235.35</v>
      </c>
      <c r="F152" s="2">
        <v>235.76</v>
      </c>
      <c r="G152" s="1">
        <v>64729500</v>
      </c>
      <c r="H152" s="8">
        <f t="shared" si="4"/>
        <v>235.17649999999998</v>
      </c>
      <c r="I152" s="19">
        <f t="shared" si="3"/>
        <v>232.97049999999999</v>
      </c>
      <c r="J152" s="8">
        <f>testdata[[#This Row],[SMA(20)]]+0.025*testdata[[#This Row],[SMA(20)]]</f>
        <v>241.05591249999998</v>
      </c>
      <c r="K152" s="8">
        <f>testdata[[#This Row],[SMA(20)]]-0.025*testdata[[#This Row],[SMA(20)]]</f>
        <v>229.29708749999998</v>
      </c>
      <c r="L152" s="16">
        <f>testdata[[#This Row],[close]]-testdata[[#This Row],[SMA(TW)]]</f>
        <v>2.7895000000000039</v>
      </c>
      <c r="M152"/>
    </row>
    <row r="153" spans="1:13" x14ac:dyDescent="0.25">
      <c r="A153" s="6">
        <v>152</v>
      </c>
      <c r="B153" s="3">
        <v>42956</v>
      </c>
      <c r="C153" s="2">
        <v>235.01</v>
      </c>
      <c r="D153" s="2">
        <v>235.81</v>
      </c>
      <c r="E153" s="2">
        <v>234.62</v>
      </c>
      <c r="F153" s="2">
        <v>235.75</v>
      </c>
      <c r="G153" s="1">
        <v>65687312</v>
      </c>
      <c r="H153" s="8">
        <f t="shared" si="4"/>
        <v>235.33099999999999</v>
      </c>
      <c r="I153" s="19">
        <f t="shared" si="3"/>
        <v>233.14700000000002</v>
      </c>
      <c r="J153" s="8">
        <f>testdata[[#This Row],[SMA(20)]]+0.025*testdata[[#This Row],[SMA(20)]]</f>
        <v>241.21427499999999</v>
      </c>
      <c r="K153" s="8">
        <f>testdata[[#This Row],[SMA(20)]]-0.025*testdata[[#This Row],[SMA(20)]]</f>
        <v>229.44772499999999</v>
      </c>
      <c r="L153" s="16">
        <f>testdata[[#This Row],[close]]-testdata[[#This Row],[SMA(TW)]]</f>
        <v>2.6029999999999802</v>
      </c>
      <c r="M153"/>
    </row>
    <row r="154" spans="1:13" x14ac:dyDescent="0.25">
      <c r="A154" s="6">
        <v>153</v>
      </c>
      <c r="B154" s="3">
        <v>42957</v>
      </c>
      <c r="C154" s="2">
        <v>234.84</v>
      </c>
      <c r="D154" s="2">
        <v>234.98</v>
      </c>
      <c r="E154" s="2">
        <v>232.37</v>
      </c>
      <c r="F154" s="2">
        <v>232.42</v>
      </c>
      <c r="G154" s="1">
        <v>126355448</v>
      </c>
      <c r="H154" s="8">
        <f t="shared" si="4"/>
        <v>235.29949999999999</v>
      </c>
      <c r="I154" s="19">
        <f t="shared" si="3"/>
        <v>233.41200000000003</v>
      </c>
      <c r="J154" s="8">
        <f>testdata[[#This Row],[SMA(20)]]+0.025*testdata[[#This Row],[SMA(20)]]</f>
        <v>241.18198749999999</v>
      </c>
      <c r="K154" s="8">
        <f>testdata[[#This Row],[SMA(20)]]-0.025*testdata[[#This Row],[SMA(20)]]</f>
        <v>229.4170125</v>
      </c>
      <c r="L154" s="16">
        <f>testdata[[#This Row],[close]]-testdata[[#This Row],[SMA(TW)]]</f>
        <v>-0.99200000000004707</v>
      </c>
      <c r="M154"/>
    </row>
    <row r="155" spans="1:13" x14ac:dyDescent="0.25">
      <c r="A155" s="6">
        <v>154</v>
      </c>
      <c r="B155" s="3">
        <v>42958</v>
      </c>
      <c r="C155" s="2">
        <v>232.67</v>
      </c>
      <c r="D155" s="2">
        <v>233.42</v>
      </c>
      <c r="E155" s="2">
        <v>232.41</v>
      </c>
      <c r="F155" s="2">
        <v>232.77</v>
      </c>
      <c r="G155" s="1">
        <v>78521472</v>
      </c>
      <c r="H155" s="8">
        <f t="shared" si="4"/>
        <v>235.23100000000005</v>
      </c>
      <c r="I155" s="19">
        <f t="shared" si="3"/>
        <v>233.64850000000001</v>
      </c>
      <c r="J155" s="8">
        <f>testdata[[#This Row],[SMA(20)]]+0.025*testdata[[#This Row],[SMA(20)]]</f>
        <v>241.11177500000005</v>
      </c>
      <c r="K155" s="8">
        <f>testdata[[#This Row],[SMA(20)]]-0.025*testdata[[#This Row],[SMA(20)]]</f>
        <v>229.35022500000005</v>
      </c>
      <c r="L155" s="16">
        <f>testdata[[#This Row],[close]]-testdata[[#This Row],[SMA(TW)]]</f>
        <v>-0.8785000000000025</v>
      </c>
      <c r="M155"/>
    </row>
    <row r="156" spans="1:13" x14ac:dyDescent="0.25">
      <c r="A156" s="6">
        <v>155</v>
      </c>
      <c r="B156" s="3">
        <v>42961</v>
      </c>
      <c r="C156" s="2">
        <v>234.17</v>
      </c>
      <c r="D156" s="2">
        <v>235.31</v>
      </c>
      <c r="E156" s="2">
        <v>234.13</v>
      </c>
      <c r="F156" s="2">
        <v>235.07</v>
      </c>
      <c r="G156" s="1">
        <v>76866480</v>
      </c>
      <c r="H156" s="8">
        <f t="shared" si="4"/>
        <v>235.27900000000005</v>
      </c>
      <c r="I156" s="19">
        <f t="shared" si="3"/>
        <v>233.892</v>
      </c>
      <c r="J156" s="8">
        <f>testdata[[#This Row],[SMA(20)]]+0.025*testdata[[#This Row],[SMA(20)]]</f>
        <v>241.16097500000006</v>
      </c>
      <c r="K156" s="8">
        <f>testdata[[#This Row],[SMA(20)]]-0.025*testdata[[#This Row],[SMA(20)]]</f>
        <v>229.39702500000004</v>
      </c>
      <c r="L156" s="16">
        <f>testdata[[#This Row],[close]]-testdata[[#This Row],[SMA(TW)]]</f>
        <v>1.1779999999999973</v>
      </c>
      <c r="M156"/>
    </row>
    <row r="157" spans="1:13" x14ac:dyDescent="0.25">
      <c r="A157" s="6">
        <v>156</v>
      </c>
      <c r="B157" s="3">
        <v>42962</v>
      </c>
      <c r="C157" s="2">
        <v>235.49</v>
      </c>
      <c r="D157" s="2">
        <v>235.51</v>
      </c>
      <c r="E157" s="2">
        <v>234.71</v>
      </c>
      <c r="F157" s="2">
        <v>235.05</v>
      </c>
      <c r="G157" s="1">
        <v>57937020</v>
      </c>
      <c r="H157" s="8">
        <f t="shared" si="4"/>
        <v>235.31950000000006</v>
      </c>
      <c r="I157" s="19">
        <f t="shared" si="3"/>
        <v>234.11450000000005</v>
      </c>
      <c r="J157" s="8">
        <f>testdata[[#This Row],[SMA(20)]]+0.025*testdata[[#This Row],[SMA(20)]]</f>
        <v>241.20248750000007</v>
      </c>
      <c r="K157" s="8">
        <f>testdata[[#This Row],[SMA(20)]]-0.025*testdata[[#This Row],[SMA(20)]]</f>
        <v>229.43651250000005</v>
      </c>
      <c r="L157" s="16">
        <f>testdata[[#This Row],[close]]-testdata[[#This Row],[SMA(TW)]]</f>
        <v>0.93549999999996203</v>
      </c>
      <c r="M157"/>
    </row>
    <row r="158" spans="1:13" x14ac:dyDescent="0.25">
      <c r="A158" s="6">
        <v>157</v>
      </c>
      <c r="B158" s="3">
        <v>42963</v>
      </c>
      <c r="C158" s="2">
        <v>235.62</v>
      </c>
      <c r="D158" s="2">
        <v>236.06</v>
      </c>
      <c r="E158" s="2">
        <v>234.99</v>
      </c>
      <c r="F158" s="2">
        <v>235.46</v>
      </c>
      <c r="G158" s="1">
        <v>59481648</v>
      </c>
      <c r="H158" s="8">
        <f t="shared" si="4"/>
        <v>235.31750000000002</v>
      </c>
      <c r="I158" s="19">
        <f t="shared" si="3"/>
        <v>234.4205</v>
      </c>
      <c r="J158" s="8">
        <f>testdata[[#This Row],[SMA(20)]]+0.025*testdata[[#This Row],[SMA(20)]]</f>
        <v>241.20043750000002</v>
      </c>
      <c r="K158" s="8">
        <f>testdata[[#This Row],[SMA(20)]]-0.025*testdata[[#This Row],[SMA(20)]]</f>
        <v>229.43456250000003</v>
      </c>
      <c r="L158" s="16">
        <f>testdata[[#This Row],[close]]-testdata[[#This Row],[SMA(TW)]]</f>
        <v>1.0395000000000039</v>
      </c>
      <c r="M158"/>
    </row>
    <row r="159" spans="1:13" x14ac:dyDescent="0.25">
      <c r="A159" s="6">
        <v>158</v>
      </c>
      <c r="B159" s="3">
        <v>42964</v>
      </c>
      <c r="C159" s="2">
        <v>234.79</v>
      </c>
      <c r="D159" s="2">
        <v>235.13</v>
      </c>
      <c r="E159" s="2">
        <v>231.79</v>
      </c>
      <c r="F159" s="2">
        <v>231.79</v>
      </c>
      <c r="G159" s="1">
        <v>134757072</v>
      </c>
      <c r="H159" s="8">
        <f t="shared" si="4"/>
        <v>235.12650000000002</v>
      </c>
      <c r="I159" s="19">
        <f t="shared" ref="I159:I222" si="5">AVERAGE(F131:F150)</f>
        <v>234.67299999999994</v>
      </c>
      <c r="J159" s="8">
        <f>testdata[[#This Row],[SMA(20)]]+0.025*testdata[[#This Row],[SMA(20)]]</f>
        <v>241.00466250000002</v>
      </c>
      <c r="K159" s="8">
        <f>testdata[[#This Row],[SMA(20)]]-0.025*testdata[[#This Row],[SMA(20)]]</f>
        <v>229.24833750000002</v>
      </c>
      <c r="L159" s="16">
        <f>testdata[[#This Row],[close]]-testdata[[#This Row],[SMA(TW)]]</f>
        <v>-2.8829999999999529</v>
      </c>
      <c r="M159"/>
    </row>
    <row r="160" spans="1:13" x14ac:dyDescent="0.25">
      <c r="A160" s="6">
        <v>159</v>
      </c>
      <c r="B160" s="3">
        <v>42965</v>
      </c>
      <c r="C160" s="2">
        <v>231.6</v>
      </c>
      <c r="D160" s="2">
        <v>232.83</v>
      </c>
      <c r="E160" s="2">
        <v>230.94</v>
      </c>
      <c r="F160" s="2">
        <v>231.42</v>
      </c>
      <c r="G160" s="1">
        <v>143417408</v>
      </c>
      <c r="H160" s="8">
        <f t="shared" si="4"/>
        <v>234.92750000000001</v>
      </c>
      <c r="I160" s="19">
        <f t="shared" si="5"/>
        <v>234.935</v>
      </c>
      <c r="J160" s="8">
        <f>testdata[[#This Row],[SMA(20)]]+0.025*testdata[[#This Row],[SMA(20)]]</f>
        <v>240.80068750000001</v>
      </c>
      <c r="K160" s="8">
        <f>testdata[[#This Row],[SMA(20)]]-0.025*testdata[[#This Row],[SMA(20)]]</f>
        <v>229.05431250000001</v>
      </c>
      <c r="L160" s="16">
        <f>testdata[[#This Row],[close]]-testdata[[#This Row],[SMA(TW)]]</f>
        <v>-3.5150000000000148</v>
      </c>
      <c r="M160"/>
    </row>
    <row r="161" spans="1:13" x14ac:dyDescent="0.25">
      <c r="A161" s="6">
        <v>160</v>
      </c>
      <c r="B161" s="3">
        <v>42968</v>
      </c>
      <c r="C161" s="2">
        <v>231.36</v>
      </c>
      <c r="D161" s="2">
        <v>231.89</v>
      </c>
      <c r="E161" s="2">
        <v>230.58</v>
      </c>
      <c r="F161" s="2">
        <v>231.6</v>
      </c>
      <c r="G161" s="1">
        <v>68662792</v>
      </c>
      <c r="H161" s="8">
        <f t="shared" si="4"/>
        <v>234.74050000000005</v>
      </c>
      <c r="I161" s="19">
        <f t="shared" si="5"/>
        <v>235.17649999999998</v>
      </c>
      <c r="J161" s="8">
        <f>testdata[[#This Row],[SMA(20)]]+0.025*testdata[[#This Row],[SMA(20)]]</f>
        <v>240.60901250000006</v>
      </c>
      <c r="K161" s="8">
        <f>testdata[[#This Row],[SMA(20)]]-0.025*testdata[[#This Row],[SMA(20)]]</f>
        <v>228.87198750000005</v>
      </c>
      <c r="L161" s="16">
        <f>testdata[[#This Row],[close]]-testdata[[#This Row],[SMA(TW)]]</f>
        <v>-3.5764999999999816</v>
      </c>
      <c r="M161"/>
    </row>
    <row r="162" spans="1:13" x14ac:dyDescent="0.25">
      <c r="A162" s="6">
        <v>161</v>
      </c>
      <c r="B162" s="3">
        <v>42969</v>
      </c>
      <c r="C162" s="2">
        <v>232.24</v>
      </c>
      <c r="D162" s="2">
        <v>234.2</v>
      </c>
      <c r="E162" s="2">
        <v>232.22</v>
      </c>
      <c r="F162" s="2">
        <v>234.03</v>
      </c>
      <c r="G162" s="1">
        <v>66219544</v>
      </c>
      <c r="H162" s="8">
        <f t="shared" si="4"/>
        <v>234.6465</v>
      </c>
      <c r="I162" s="19">
        <f t="shared" si="5"/>
        <v>235.33099999999999</v>
      </c>
      <c r="J162" s="8">
        <f>testdata[[#This Row],[SMA(20)]]+0.025*testdata[[#This Row],[SMA(20)]]</f>
        <v>240.5126625</v>
      </c>
      <c r="K162" s="8">
        <f>testdata[[#This Row],[SMA(20)]]-0.025*testdata[[#This Row],[SMA(20)]]</f>
        <v>228.7803375</v>
      </c>
      <c r="L162" s="16">
        <f>testdata[[#This Row],[close]]-testdata[[#This Row],[SMA(TW)]]</f>
        <v>-1.3009999999999877</v>
      </c>
      <c r="M162"/>
    </row>
    <row r="163" spans="1:13" x14ac:dyDescent="0.25">
      <c r="A163" s="6">
        <v>162</v>
      </c>
      <c r="B163" s="3">
        <v>42970</v>
      </c>
      <c r="C163" s="2">
        <v>232.97</v>
      </c>
      <c r="D163" s="2">
        <v>233.65</v>
      </c>
      <c r="E163" s="2">
        <v>232.81</v>
      </c>
      <c r="F163" s="2">
        <v>233.19</v>
      </c>
      <c r="G163" s="1">
        <v>52652352</v>
      </c>
      <c r="H163" s="8">
        <f t="shared" si="4"/>
        <v>234.51</v>
      </c>
      <c r="I163" s="19">
        <f t="shared" si="5"/>
        <v>235.29949999999999</v>
      </c>
      <c r="J163" s="8">
        <f>testdata[[#This Row],[SMA(20)]]+0.025*testdata[[#This Row],[SMA(20)]]</f>
        <v>240.37275</v>
      </c>
      <c r="K163" s="8">
        <f>testdata[[#This Row],[SMA(20)]]-0.025*testdata[[#This Row],[SMA(20)]]</f>
        <v>228.64724999999999</v>
      </c>
      <c r="L163" s="16">
        <f>testdata[[#This Row],[close]]-testdata[[#This Row],[SMA(TW)]]</f>
        <v>-2.109499999999997</v>
      </c>
      <c r="M163"/>
    </row>
    <row r="164" spans="1:13" x14ac:dyDescent="0.25">
      <c r="A164" s="6">
        <v>163</v>
      </c>
      <c r="B164" s="3">
        <v>42971</v>
      </c>
      <c r="C164" s="2">
        <v>233.61</v>
      </c>
      <c r="D164" s="2">
        <v>233.78</v>
      </c>
      <c r="E164" s="2">
        <v>232.41</v>
      </c>
      <c r="F164" s="2">
        <v>232.64</v>
      </c>
      <c r="G164" s="1">
        <v>53216420</v>
      </c>
      <c r="H164" s="8">
        <f t="shared" si="4"/>
        <v>234.35700000000003</v>
      </c>
      <c r="I164" s="19">
        <f t="shared" si="5"/>
        <v>235.23100000000005</v>
      </c>
      <c r="J164" s="8">
        <f>testdata[[#This Row],[SMA(20)]]+0.025*testdata[[#This Row],[SMA(20)]]</f>
        <v>240.21592500000003</v>
      </c>
      <c r="K164" s="8">
        <f>testdata[[#This Row],[SMA(20)]]-0.025*testdata[[#This Row],[SMA(20)]]</f>
        <v>228.49807500000003</v>
      </c>
      <c r="L164" s="16">
        <f>testdata[[#This Row],[close]]-testdata[[#This Row],[SMA(TW)]]</f>
        <v>-2.591000000000065</v>
      </c>
      <c r="M164"/>
    </row>
    <row r="165" spans="1:13" x14ac:dyDescent="0.25">
      <c r="A165" s="6">
        <v>164</v>
      </c>
      <c r="B165" s="3">
        <v>42972</v>
      </c>
      <c r="C165" s="2">
        <v>233.51</v>
      </c>
      <c r="D165" s="2">
        <v>234.19</v>
      </c>
      <c r="E165" s="2">
        <v>233.02</v>
      </c>
      <c r="F165" s="2">
        <v>233.19</v>
      </c>
      <c r="G165" s="1">
        <v>67589040</v>
      </c>
      <c r="H165" s="8">
        <f t="shared" si="4"/>
        <v>234.24500000000003</v>
      </c>
      <c r="I165" s="19">
        <f t="shared" si="5"/>
        <v>235.27900000000005</v>
      </c>
      <c r="J165" s="8">
        <f>testdata[[#This Row],[SMA(20)]]+0.025*testdata[[#This Row],[SMA(20)]]</f>
        <v>240.10112500000002</v>
      </c>
      <c r="K165" s="8">
        <f>testdata[[#This Row],[SMA(20)]]-0.025*testdata[[#This Row],[SMA(20)]]</f>
        <v>228.38887500000004</v>
      </c>
      <c r="L165" s="16">
        <f>testdata[[#This Row],[close]]-testdata[[#This Row],[SMA(TW)]]</f>
        <v>-2.0890000000000555</v>
      </c>
      <c r="M165"/>
    </row>
    <row r="166" spans="1:13" x14ac:dyDescent="0.25">
      <c r="A166" s="6">
        <v>165</v>
      </c>
      <c r="B166" s="3">
        <v>42975</v>
      </c>
      <c r="C166" s="2">
        <v>233.77</v>
      </c>
      <c r="D166" s="2">
        <v>233.8</v>
      </c>
      <c r="E166" s="2">
        <v>232.74</v>
      </c>
      <c r="F166" s="2">
        <v>233.2</v>
      </c>
      <c r="G166" s="1">
        <v>42544052</v>
      </c>
      <c r="H166" s="8">
        <f t="shared" si="4"/>
        <v>234.14050000000003</v>
      </c>
      <c r="I166" s="19">
        <f t="shared" si="5"/>
        <v>235.31950000000006</v>
      </c>
      <c r="J166" s="8">
        <f>testdata[[#This Row],[SMA(20)]]+0.025*testdata[[#This Row],[SMA(20)]]</f>
        <v>239.99401250000003</v>
      </c>
      <c r="K166" s="8">
        <f>testdata[[#This Row],[SMA(20)]]-0.025*testdata[[#This Row],[SMA(20)]]</f>
        <v>228.28698750000004</v>
      </c>
      <c r="L166" s="16">
        <f>testdata[[#This Row],[close]]-testdata[[#This Row],[SMA(TW)]]</f>
        <v>-2.1195000000000732</v>
      </c>
      <c r="M166"/>
    </row>
    <row r="167" spans="1:13" x14ac:dyDescent="0.25">
      <c r="A167" s="6">
        <v>166</v>
      </c>
      <c r="B167" s="3">
        <v>42976</v>
      </c>
      <c r="C167" s="2">
        <v>231.76</v>
      </c>
      <c r="D167" s="2">
        <v>233.75</v>
      </c>
      <c r="E167" s="2">
        <v>231.63</v>
      </c>
      <c r="F167" s="2">
        <v>233.46</v>
      </c>
      <c r="G167" s="1">
        <v>53629680</v>
      </c>
      <c r="H167" s="8">
        <f t="shared" si="4"/>
        <v>234.02249999999998</v>
      </c>
      <c r="I167" s="19">
        <f t="shared" si="5"/>
        <v>235.31750000000002</v>
      </c>
      <c r="J167" s="8">
        <f>testdata[[#This Row],[SMA(20)]]+0.025*testdata[[#This Row],[SMA(20)]]</f>
        <v>239.87306249999997</v>
      </c>
      <c r="K167" s="8">
        <f>testdata[[#This Row],[SMA(20)]]-0.025*testdata[[#This Row],[SMA(20)]]</f>
        <v>228.17193749999998</v>
      </c>
      <c r="L167" s="16">
        <f>testdata[[#This Row],[close]]-testdata[[#This Row],[SMA(TW)]]</f>
        <v>-1.8575000000000159</v>
      </c>
      <c r="M167"/>
    </row>
    <row r="168" spans="1:13" x14ac:dyDescent="0.25">
      <c r="A168" s="6">
        <v>167</v>
      </c>
      <c r="B168" s="3">
        <v>42977</v>
      </c>
      <c r="C168" s="2">
        <v>233.44</v>
      </c>
      <c r="D168" s="2">
        <v>234.87</v>
      </c>
      <c r="E168" s="2">
        <v>233.24</v>
      </c>
      <c r="F168" s="2">
        <v>234.57</v>
      </c>
      <c r="G168" s="1">
        <v>65056144</v>
      </c>
      <c r="H168" s="8">
        <f t="shared" si="4"/>
        <v>233.9545</v>
      </c>
      <c r="I168" s="19">
        <f t="shared" si="5"/>
        <v>235.12650000000002</v>
      </c>
      <c r="J168" s="8">
        <f>testdata[[#This Row],[SMA(20)]]+0.025*testdata[[#This Row],[SMA(20)]]</f>
        <v>239.80336249999999</v>
      </c>
      <c r="K168" s="8">
        <f>testdata[[#This Row],[SMA(20)]]-0.025*testdata[[#This Row],[SMA(20)]]</f>
        <v>228.1056375</v>
      </c>
      <c r="L168" s="16">
        <f>testdata[[#This Row],[close]]-testdata[[#This Row],[SMA(TW)]]</f>
        <v>-0.55650000000002819</v>
      </c>
      <c r="M168"/>
    </row>
    <row r="169" spans="1:13" x14ac:dyDescent="0.25">
      <c r="A169" s="6">
        <v>168</v>
      </c>
      <c r="B169" s="3">
        <v>42978</v>
      </c>
      <c r="C169" s="2">
        <v>235.25</v>
      </c>
      <c r="D169" s="2">
        <v>236.25</v>
      </c>
      <c r="E169" s="2">
        <v>234.61</v>
      </c>
      <c r="F169" s="2">
        <v>235.98</v>
      </c>
      <c r="G169" s="1">
        <v>108866560</v>
      </c>
      <c r="H169" s="8">
        <f t="shared" si="4"/>
        <v>233.97949999999997</v>
      </c>
      <c r="I169" s="19">
        <f t="shared" si="5"/>
        <v>234.92750000000001</v>
      </c>
      <c r="J169" s="8">
        <f>testdata[[#This Row],[SMA(20)]]+0.025*testdata[[#This Row],[SMA(20)]]</f>
        <v>239.82898749999998</v>
      </c>
      <c r="K169" s="8">
        <f>testdata[[#This Row],[SMA(20)]]-0.025*testdata[[#This Row],[SMA(20)]]</f>
        <v>228.13001249999996</v>
      </c>
      <c r="L169" s="16">
        <f>testdata[[#This Row],[close]]-testdata[[#This Row],[SMA(TW)]]</f>
        <v>1.0524999999999807</v>
      </c>
      <c r="M169"/>
    </row>
    <row r="170" spans="1:13" x14ac:dyDescent="0.25">
      <c r="A170" s="6">
        <v>169</v>
      </c>
      <c r="B170" s="3">
        <v>42979</v>
      </c>
      <c r="C170" s="2">
        <v>236.39</v>
      </c>
      <c r="D170" s="2">
        <v>236.78</v>
      </c>
      <c r="E170" s="2">
        <v>236.15</v>
      </c>
      <c r="F170" s="2">
        <v>236.31</v>
      </c>
      <c r="G170" s="1">
        <v>65031164</v>
      </c>
      <c r="H170" s="8">
        <f t="shared" si="4"/>
        <v>234</v>
      </c>
      <c r="I170" s="19">
        <f t="shared" si="5"/>
        <v>234.74050000000005</v>
      </c>
      <c r="J170" s="8">
        <f>testdata[[#This Row],[SMA(20)]]+0.025*testdata[[#This Row],[SMA(20)]]</f>
        <v>239.85</v>
      </c>
      <c r="K170" s="8">
        <f>testdata[[#This Row],[SMA(20)]]-0.025*testdata[[#This Row],[SMA(20)]]</f>
        <v>228.15</v>
      </c>
      <c r="L170" s="16">
        <f>testdata[[#This Row],[close]]-testdata[[#This Row],[SMA(TW)]]</f>
        <v>1.5694999999999482</v>
      </c>
      <c r="M170"/>
    </row>
    <row r="171" spans="1:13" x14ac:dyDescent="0.25">
      <c r="A171" s="6">
        <v>170</v>
      </c>
      <c r="B171" s="3">
        <v>42983</v>
      </c>
      <c r="C171" s="2">
        <v>235.76</v>
      </c>
      <c r="D171" s="2">
        <v>236.01</v>
      </c>
      <c r="E171" s="2">
        <v>233.56</v>
      </c>
      <c r="F171" s="2">
        <v>234.62</v>
      </c>
      <c r="G171" s="1">
        <v>95856440</v>
      </c>
      <c r="H171" s="8">
        <f t="shared" si="4"/>
        <v>233.91399999999999</v>
      </c>
      <c r="I171" s="19">
        <f t="shared" si="5"/>
        <v>234.6465</v>
      </c>
      <c r="J171" s="8">
        <f>testdata[[#This Row],[SMA(20)]]+0.025*testdata[[#This Row],[SMA(20)]]</f>
        <v>239.76184999999998</v>
      </c>
      <c r="K171" s="8">
        <f>testdata[[#This Row],[SMA(20)]]-0.025*testdata[[#This Row],[SMA(20)]]</f>
        <v>228.06614999999999</v>
      </c>
      <c r="L171" s="16">
        <f>testdata[[#This Row],[close]]-testdata[[#This Row],[SMA(TW)]]</f>
        <v>-2.6499999999998636E-2</v>
      </c>
      <c r="M171"/>
    </row>
    <row r="172" spans="1:13" x14ac:dyDescent="0.25">
      <c r="A172" s="6">
        <v>171</v>
      </c>
      <c r="B172" s="3">
        <v>42984</v>
      </c>
      <c r="C172" s="2">
        <v>235.36</v>
      </c>
      <c r="D172" s="2">
        <v>235.78</v>
      </c>
      <c r="E172" s="2">
        <v>234.78</v>
      </c>
      <c r="F172" s="2">
        <v>235.42</v>
      </c>
      <c r="G172" s="1">
        <v>60741564</v>
      </c>
      <c r="H172" s="8">
        <f t="shared" si="4"/>
        <v>233.89700000000002</v>
      </c>
      <c r="I172" s="19">
        <f t="shared" si="5"/>
        <v>234.51</v>
      </c>
      <c r="J172" s="8">
        <f>testdata[[#This Row],[SMA(20)]]+0.025*testdata[[#This Row],[SMA(20)]]</f>
        <v>239.74442500000004</v>
      </c>
      <c r="K172" s="8">
        <f>testdata[[#This Row],[SMA(20)]]-0.025*testdata[[#This Row],[SMA(20)]]</f>
        <v>228.049575</v>
      </c>
      <c r="L172" s="16">
        <f>testdata[[#This Row],[close]]-testdata[[#This Row],[SMA(TW)]]</f>
        <v>0.90999999999999659</v>
      </c>
      <c r="M172"/>
    </row>
    <row r="173" spans="1:13" x14ac:dyDescent="0.25">
      <c r="A173" s="6">
        <v>172</v>
      </c>
      <c r="B173" s="3">
        <v>42985</v>
      </c>
      <c r="C173" s="2">
        <v>235.75</v>
      </c>
      <c r="D173" s="2">
        <v>235.77</v>
      </c>
      <c r="E173" s="2">
        <v>234.94</v>
      </c>
      <c r="F173" s="2">
        <v>235.39</v>
      </c>
      <c r="G173" s="1">
        <v>60865172</v>
      </c>
      <c r="H173" s="8">
        <f t="shared" si="4"/>
        <v>233.87900000000005</v>
      </c>
      <c r="I173" s="19">
        <f t="shared" si="5"/>
        <v>234.35700000000003</v>
      </c>
      <c r="J173" s="8">
        <f>testdata[[#This Row],[SMA(20)]]+0.025*testdata[[#This Row],[SMA(20)]]</f>
        <v>239.72597500000006</v>
      </c>
      <c r="K173" s="8">
        <f>testdata[[#This Row],[SMA(20)]]-0.025*testdata[[#This Row],[SMA(20)]]</f>
        <v>228.03202500000003</v>
      </c>
      <c r="L173" s="16">
        <f>testdata[[#This Row],[close]]-testdata[[#This Row],[SMA(TW)]]</f>
        <v>1.0329999999999586</v>
      </c>
      <c r="M173"/>
    </row>
    <row r="174" spans="1:13" x14ac:dyDescent="0.25">
      <c r="A174" s="6">
        <v>173</v>
      </c>
      <c r="B174" s="3">
        <v>42986</v>
      </c>
      <c r="C174" s="2">
        <v>235.07</v>
      </c>
      <c r="D174" s="2">
        <v>235.62</v>
      </c>
      <c r="E174" s="2">
        <v>234.85</v>
      </c>
      <c r="F174" s="2">
        <v>235.11</v>
      </c>
      <c r="G174" s="1">
        <v>66946052</v>
      </c>
      <c r="H174" s="8">
        <f t="shared" si="4"/>
        <v>234.01349999999996</v>
      </c>
      <c r="I174" s="19">
        <f t="shared" si="5"/>
        <v>234.24500000000003</v>
      </c>
      <c r="J174" s="8">
        <f>testdata[[#This Row],[SMA(20)]]+0.025*testdata[[#This Row],[SMA(20)]]</f>
        <v>239.86383749999996</v>
      </c>
      <c r="K174" s="8">
        <f>testdata[[#This Row],[SMA(20)]]-0.025*testdata[[#This Row],[SMA(20)]]</f>
        <v>228.16316249999997</v>
      </c>
      <c r="L174" s="16">
        <f>testdata[[#This Row],[close]]-testdata[[#This Row],[SMA(TW)]]</f>
        <v>0.86499999999998067</v>
      </c>
      <c r="M174"/>
    </row>
    <row r="175" spans="1:13" x14ac:dyDescent="0.25">
      <c r="A175" s="6">
        <v>174</v>
      </c>
      <c r="B175" s="3">
        <v>42989</v>
      </c>
      <c r="C175" s="2">
        <v>236.51</v>
      </c>
      <c r="D175" s="2">
        <v>237.71</v>
      </c>
      <c r="E175" s="2">
        <v>236.49</v>
      </c>
      <c r="F175" s="2">
        <v>237.62</v>
      </c>
      <c r="G175" s="1">
        <v>74845424</v>
      </c>
      <c r="H175" s="8">
        <f t="shared" si="4"/>
        <v>234.256</v>
      </c>
      <c r="I175" s="19">
        <f t="shared" si="5"/>
        <v>234.14050000000003</v>
      </c>
      <c r="J175" s="8">
        <f>testdata[[#This Row],[SMA(20)]]+0.025*testdata[[#This Row],[SMA(20)]]</f>
        <v>240.11240000000001</v>
      </c>
      <c r="K175" s="8">
        <f>testdata[[#This Row],[SMA(20)]]-0.025*testdata[[#This Row],[SMA(20)]]</f>
        <v>228.39959999999999</v>
      </c>
      <c r="L175" s="16">
        <f>testdata[[#This Row],[close]]-testdata[[#This Row],[SMA(TW)]]</f>
        <v>3.4794999999999732</v>
      </c>
      <c r="M175"/>
    </row>
    <row r="176" spans="1:13" x14ac:dyDescent="0.25">
      <c r="A176" s="6">
        <v>175</v>
      </c>
      <c r="B176" s="3">
        <v>42990</v>
      </c>
      <c r="C176" s="2">
        <v>238.02</v>
      </c>
      <c r="D176" s="2">
        <v>238.46</v>
      </c>
      <c r="E176" s="2">
        <v>237.82</v>
      </c>
      <c r="F176" s="2">
        <v>238.42</v>
      </c>
      <c r="G176" s="1">
        <v>59670932</v>
      </c>
      <c r="H176" s="8">
        <f t="shared" si="4"/>
        <v>234.42349999999996</v>
      </c>
      <c r="I176" s="19">
        <f t="shared" si="5"/>
        <v>234.02249999999998</v>
      </c>
      <c r="J176" s="8">
        <f>testdata[[#This Row],[SMA(20)]]+0.025*testdata[[#This Row],[SMA(20)]]</f>
        <v>240.28408749999997</v>
      </c>
      <c r="K176" s="8">
        <f>testdata[[#This Row],[SMA(20)]]-0.025*testdata[[#This Row],[SMA(20)]]</f>
        <v>228.56291249999995</v>
      </c>
      <c r="L176" s="16">
        <f>testdata[[#This Row],[close]]-testdata[[#This Row],[SMA(TW)]]</f>
        <v>4.397500000000008</v>
      </c>
      <c r="M176"/>
    </row>
    <row r="177" spans="1:13" x14ac:dyDescent="0.25">
      <c r="A177" s="6">
        <v>176</v>
      </c>
      <c r="B177" s="3">
        <v>42991</v>
      </c>
      <c r="C177" s="2">
        <v>238.11</v>
      </c>
      <c r="D177" s="2">
        <v>238.57</v>
      </c>
      <c r="E177" s="2">
        <v>237.98</v>
      </c>
      <c r="F177" s="2">
        <v>238.54</v>
      </c>
      <c r="G177" s="1">
        <v>62116640</v>
      </c>
      <c r="H177" s="8">
        <f t="shared" si="4"/>
        <v>234.59800000000001</v>
      </c>
      <c r="I177" s="19">
        <f t="shared" si="5"/>
        <v>233.9545</v>
      </c>
      <c r="J177" s="8">
        <f>testdata[[#This Row],[SMA(20)]]+0.025*testdata[[#This Row],[SMA(20)]]</f>
        <v>240.46295000000001</v>
      </c>
      <c r="K177" s="8">
        <f>testdata[[#This Row],[SMA(20)]]-0.025*testdata[[#This Row],[SMA(20)]]</f>
        <v>228.73305000000002</v>
      </c>
      <c r="L177" s="16">
        <f>testdata[[#This Row],[close]]-testdata[[#This Row],[SMA(TW)]]</f>
        <v>4.5854999999999961</v>
      </c>
      <c r="M177"/>
    </row>
    <row r="178" spans="1:13" x14ac:dyDescent="0.25">
      <c r="A178" s="6">
        <v>177</v>
      </c>
      <c r="B178" s="3">
        <v>42992</v>
      </c>
      <c r="C178" s="2">
        <v>238.18</v>
      </c>
      <c r="D178" s="2">
        <v>238.68</v>
      </c>
      <c r="E178" s="2">
        <v>237.99</v>
      </c>
      <c r="F178" s="2">
        <v>238.46</v>
      </c>
      <c r="G178" s="1">
        <v>100101416</v>
      </c>
      <c r="H178" s="8">
        <f t="shared" si="4"/>
        <v>234.74799999999999</v>
      </c>
      <c r="I178" s="19">
        <f t="shared" si="5"/>
        <v>233.97949999999997</v>
      </c>
      <c r="J178" s="8">
        <f>testdata[[#This Row],[SMA(20)]]+0.025*testdata[[#This Row],[SMA(20)]]</f>
        <v>240.61669999999998</v>
      </c>
      <c r="K178" s="8">
        <f>testdata[[#This Row],[SMA(20)]]-0.025*testdata[[#This Row],[SMA(20)]]</f>
        <v>228.8793</v>
      </c>
      <c r="L178" s="16">
        <f>testdata[[#This Row],[close]]-testdata[[#This Row],[SMA(TW)]]</f>
        <v>4.4805000000000348</v>
      </c>
      <c r="M178"/>
    </row>
    <row r="179" spans="1:13" x14ac:dyDescent="0.25">
      <c r="A179" s="6">
        <v>178</v>
      </c>
      <c r="B179" s="3">
        <v>42993</v>
      </c>
      <c r="C179" s="2">
        <v>238.3</v>
      </c>
      <c r="D179" s="2">
        <v>238.88</v>
      </c>
      <c r="E179" s="2">
        <v>238.19</v>
      </c>
      <c r="F179" s="2">
        <v>238.78</v>
      </c>
      <c r="G179" s="1">
        <v>99592680</v>
      </c>
      <c r="H179" s="8">
        <f t="shared" si="4"/>
        <v>235.0975</v>
      </c>
      <c r="I179" s="19">
        <f t="shared" si="5"/>
        <v>234</v>
      </c>
      <c r="J179" s="8">
        <f>testdata[[#This Row],[SMA(20)]]+0.025*testdata[[#This Row],[SMA(20)]]</f>
        <v>240.97493750000001</v>
      </c>
      <c r="K179" s="8">
        <f>testdata[[#This Row],[SMA(20)]]-0.025*testdata[[#This Row],[SMA(20)]]</f>
        <v>229.22006249999998</v>
      </c>
      <c r="L179" s="16">
        <f>testdata[[#This Row],[close]]-testdata[[#This Row],[SMA(TW)]]</f>
        <v>4.7800000000000011</v>
      </c>
      <c r="M179"/>
    </row>
    <row r="180" spans="1:13" x14ac:dyDescent="0.25">
      <c r="A180" s="6">
        <v>179</v>
      </c>
      <c r="B180" s="3">
        <v>42996</v>
      </c>
      <c r="C180" s="2">
        <v>239.18</v>
      </c>
      <c r="D180" s="2">
        <v>239.67</v>
      </c>
      <c r="E180" s="2">
        <v>238.87</v>
      </c>
      <c r="F180" s="2">
        <v>239.29</v>
      </c>
      <c r="G180" s="1">
        <v>48250824</v>
      </c>
      <c r="H180" s="8">
        <f t="shared" si="4"/>
        <v>235.49099999999993</v>
      </c>
      <c r="I180" s="19">
        <f t="shared" si="5"/>
        <v>233.91399999999999</v>
      </c>
      <c r="J180" s="8">
        <f>testdata[[#This Row],[SMA(20)]]+0.025*testdata[[#This Row],[SMA(20)]]</f>
        <v>241.37827499999992</v>
      </c>
      <c r="K180" s="8">
        <f>testdata[[#This Row],[SMA(20)]]-0.025*testdata[[#This Row],[SMA(20)]]</f>
        <v>229.60372499999994</v>
      </c>
      <c r="L180" s="16">
        <f>testdata[[#This Row],[close]]-testdata[[#This Row],[SMA(TW)]]</f>
        <v>5.3760000000000048</v>
      </c>
      <c r="M180"/>
    </row>
    <row r="181" spans="1:13" x14ac:dyDescent="0.25">
      <c r="A181" s="6">
        <v>180</v>
      </c>
      <c r="B181" s="3">
        <v>42997</v>
      </c>
      <c r="C181" s="2">
        <v>239.56</v>
      </c>
      <c r="D181" s="2">
        <v>239.62</v>
      </c>
      <c r="E181" s="2">
        <v>239.17</v>
      </c>
      <c r="F181" s="2">
        <v>239.53</v>
      </c>
      <c r="G181" s="1">
        <v>49161788</v>
      </c>
      <c r="H181" s="8">
        <f t="shared" si="4"/>
        <v>235.88749999999999</v>
      </c>
      <c r="I181" s="19">
        <f t="shared" si="5"/>
        <v>233.89700000000002</v>
      </c>
      <c r="J181" s="8">
        <f>testdata[[#This Row],[SMA(20)]]+0.025*testdata[[#This Row],[SMA(20)]]</f>
        <v>241.78468749999999</v>
      </c>
      <c r="K181" s="8">
        <f>testdata[[#This Row],[SMA(20)]]-0.025*testdata[[#This Row],[SMA(20)]]</f>
        <v>229.99031249999999</v>
      </c>
      <c r="L181" s="16">
        <f>testdata[[#This Row],[close]]-testdata[[#This Row],[SMA(TW)]]</f>
        <v>5.6329999999999814</v>
      </c>
      <c r="M181"/>
    </row>
    <row r="182" spans="1:13" x14ac:dyDescent="0.25">
      <c r="A182" s="6">
        <v>181</v>
      </c>
      <c r="B182" s="3">
        <v>42998</v>
      </c>
      <c r="C182" s="2">
        <v>239.62</v>
      </c>
      <c r="D182" s="2">
        <v>239.74</v>
      </c>
      <c r="E182" s="2">
        <v>238.52</v>
      </c>
      <c r="F182" s="2">
        <v>239.61</v>
      </c>
      <c r="G182" s="1">
        <v>62171164</v>
      </c>
      <c r="H182" s="8">
        <f t="shared" si="4"/>
        <v>236.16649999999998</v>
      </c>
      <c r="I182" s="19">
        <f t="shared" si="5"/>
        <v>233.87900000000005</v>
      </c>
      <c r="J182" s="8">
        <f>testdata[[#This Row],[SMA(20)]]+0.025*testdata[[#This Row],[SMA(20)]]</f>
        <v>242.0706625</v>
      </c>
      <c r="K182" s="8">
        <f>testdata[[#This Row],[SMA(20)]]-0.025*testdata[[#This Row],[SMA(20)]]</f>
        <v>230.26233749999997</v>
      </c>
      <c r="L182" s="16">
        <f>testdata[[#This Row],[close]]-testdata[[#This Row],[SMA(TW)]]</f>
        <v>5.7309999999999661</v>
      </c>
      <c r="M182"/>
    </row>
    <row r="183" spans="1:13" x14ac:dyDescent="0.25">
      <c r="A183" s="6">
        <v>182</v>
      </c>
      <c r="B183" s="3">
        <v>42999</v>
      </c>
      <c r="C183" s="2">
        <v>239.44</v>
      </c>
      <c r="D183" s="2">
        <v>239.54</v>
      </c>
      <c r="E183" s="2">
        <v>238.78</v>
      </c>
      <c r="F183" s="2">
        <v>238.97</v>
      </c>
      <c r="G183" s="1">
        <v>50313136</v>
      </c>
      <c r="H183" s="8">
        <f t="shared" si="4"/>
        <v>236.45549999999997</v>
      </c>
      <c r="I183" s="19">
        <f t="shared" si="5"/>
        <v>234.01349999999996</v>
      </c>
      <c r="J183" s="8">
        <f>testdata[[#This Row],[SMA(20)]]+0.025*testdata[[#This Row],[SMA(20)]]</f>
        <v>242.36688749999996</v>
      </c>
      <c r="K183" s="8">
        <f>testdata[[#This Row],[SMA(20)]]-0.025*testdata[[#This Row],[SMA(20)]]</f>
        <v>230.54411249999998</v>
      </c>
      <c r="L183" s="16">
        <f>testdata[[#This Row],[close]]-testdata[[#This Row],[SMA(TW)]]</f>
        <v>4.9565000000000339</v>
      </c>
      <c r="M183"/>
    </row>
    <row r="184" spans="1:13" x14ac:dyDescent="0.25">
      <c r="A184" s="6">
        <v>183</v>
      </c>
      <c r="B184" s="3">
        <v>43000</v>
      </c>
      <c r="C184" s="2">
        <v>238.65</v>
      </c>
      <c r="D184" s="2">
        <v>239.2</v>
      </c>
      <c r="E184" s="2">
        <v>238.62</v>
      </c>
      <c r="F184" s="2">
        <v>239.02</v>
      </c>
      <c r="G184" s="1">
        <v>53446664</v>
      </c>
      <c r="H184" s="8">
        <f t="shared" si="4"/>
        <v>236.77450000000005</v>
      </c>
      <c r="I184" s="19">
        <f t="shared" si="5"/>
        <v>234.256</v>
      </c>
      <c r="J184" s="8">
        <f>testdata[[#This Row],[SMA(20)]]+0.025*testdata[[#This Row],[SMA(20)]]</f>
        <v>242.69386250000005</v>
      </c>
      <c r="K184" s="8">
        <f>testdata[[#This Row],[SMA(20)]]-0.025*testdata[[#This Row],[SMA(20)]]</f>
        <v>230.85513750000004</v>
      </c>
      <c r="L184" s="16">
        <f>testdata[[#This Row],[close]]-testdata[[#This Row],[SMA(TW)]]</f>
        <v>4.76400000000001</v>
      </c>
      <c r="M184"/>
    </row>
    <row r="185" spans="1:13" x14ac:dyDescent="0.25">
      <c r="A185" s="6">
        <v>184</v>
      </c>
      <c r="B185" s="3">
        <v>43003</v>
      </c>
      <c r="C185" s="2">
        <v>238.74</v>
      </c>
      <c r="D185" s="2">
        <v>239.13</v>
      </c>
      <c r="E185" s="2">
        <v>237.72</v>
      </c>
      <c r="F185" s="2">
        <v>238.53</v>
      </c>
      <c r="G185" s="1">
        <v>59552032</v>
      </c>
      <c r="H185" s="8">
        <f t="shared" si="4"/>
        <v>237.04150000000004</v>
      </c>
      <c r="I185" s="19">
        <f t="shared" si="5"/>
        <v>234.42349999999996</v>
      </c>
      <c r="J185" s="8">
        <f>testdata[[#This Row],[SMA(20)]]+0.025*testdata[[#This Row],[SMA(20)]]</f>
        <v>242.96753750000005</v>
      </c>
      <c r="K185" s="8">
        <f>testdata[[#This Row],[SMA(20)]]-0.025*testdata[[#This Row],[SMA(20)]]</f>
        <v>231.11546250000004</v>
      </c>
      <c r="L185" s="16">
        <f>testdata[[#This Row],[close]]-testdata[[#This Row],[SMA(TW)]]</f>
        <v>4.1065000000000396</v>
      </c>
      <c r="M185"/>
    </row>
    <row r="186" spans="1:13" x14ac:dyDescent="0.25">
      <c r="A186" s="6">
        <v>185</v>
      </c>
      <c r="B186" s="3">
        <v>43004</v>
      </c>
      <c r="C186" s="2">
        <v>239</v>
      </c>
      <c r="D186" s="2">
        <v>239.27</v>
      </c>
      <c r="E186" s="2">
        <v>238.41</v>
      </c>
      <c r="F186" s="2">
        <v>238.68</v>
      </c>
      <c r="G186" s="1">
        <v>56439616</v>
      </c>
      <c r="H186" s="8">
        <f t="shared" si="4"/>
        <v>237.31550000000001</v>
      </c>
      <c r="I186" s="19">
        <f t="shared" si="5"/>
        <v>234.59800000000001</v>
      </c>
      <c r="J186" s="8">
        <f>testdata[[#This Row],[SMA(20)]]+0.025*testdata[[#This Row],[SMA(20)]]</f>
        <v>243.24838750000001</v>
      </c>
      <c r="K186" s="8">
        <f>testdata[[#This Row],[SMA(20)]]-0.025*testdata[[#This Row],[SMA(20)]]</f>
        <v>231.38261250000002</v>
      </c>
      <c r="L186" s="16">
        <f>testdata[[#This Row],[close]]-testdata[[#This Row],[SMA(TW)]]</f>
        <v>4.0819999999999936</v>
      </c>
      <c r="M186"/>
    </row>
    <row r="187" spans="1:13" x14ac:dyDescent="0.25">
      <c r="A187" s="6">
        <v>186</v>
      </c>
      <c r="B187" s="3">
        <v>43005</v>
      </c>
      <c r="C187" s="2">
        <v>239.44</v>
      </c>
      <c r="D187" s="2">
        <v>240.03</v>
      </c>
      <c r="E187" s="2">
        <v>238.47</v>
      </c>
      <c r="F187" s="2">
        <v>239.6</v>
      </c>
      <c r="G187" s="1">
        <v>84532616</v>
      </c>
      <c r="H187" s="8">
        <f t="shared" si="4"/>
        <v>237.62250000000003</v>
      </c>
      <c r="I187" s="19">
        <f t="shared" si="5"/>
        <v>234.74799999999999</v>
      </c>
      <c r="J187" s="8">
        <f>testdata[[#This Row],[SMA(20)]]+0.025*testdata[[#This Row],[SMA(20)]]</f>
        <v>243.56306250000003</v>
      </c>
      <c r="K187" s="8">
        <f>testdata[[#This Row],[SMA(20)]]-0.025*testdata[[#This Row],[SMA(20)]]</f>
        <v>231.68193750000003</v>
      </c>
      <c r="L187" s="16">
        <f>testdata[[#This Row],[close]]-testdata[[#This Row],[SMA(TW)]]</f>
        <v>4.8520000000000039</v>
      </c>
      <c r="M187"/>
    </row>
    <row r="188" spans="1:13" x14ac:dyDescent="0.25">
      <c r="A188" s="6">
        <v>187</v>
      </c>
      <c r="B188" s="3">
        <v>43006</v>
      </c>
      <c r="C188" s="2">
        <v>239.3</v>
      </c>
      <c r="D188" s="2">
        <v>239.98</v>
      </c>
      <c r="E188" s="2">
        <v>239.2</v>
      </c>
      <c r="F188" s="2">
        <v>239.89</v>
      </c>
      <c r="G188" s="1">
        <v>46730936</v>
      </c>
      <c r="H188" s="8">
        <f t="shared" si="4"/>
        <v>237.88850000000008</v>
      </c>
      <c r="I188" s="19">
        <f t="shared" si="5"/>
        <v>235.0975</v>
      </c>
      <c r="J188" s="8">
        <f>testdata[[#This Row],[SMA(20)]]+0.025*testdata[[#This Row],[SMA(20)]]</f>
        <v>243.83571250000008</v>
      </c>
      <c r="K188" s="8">
        <f>testdata[[#This Row],[SMA(20)]]-0.025*testdata[[#This Row],[SMA(20)]]</f>
        <v>231.94128750000007</v>
      </c>
      <c r="L188" s="16">
        <f>testdata[[#This Row],[close]]-testdata[[#This Row],[SMA(TW)]]</f>
        <v>4.7924999999999898</v>
      </c>
      <c r="M188"/>
    </row>
    <row r="189" spans="1:13" x14ac:dyDescent="0.25">
      <c r="A189" s="6">
        <v>188</v>
      </c>
      <c r="B189" s="3">
        <v>43007</v>
      </c>
      <c r="C189" s="2">
        <v>239.88</v>
      </c>
      <c r="D189" s="2">
        <v>240.82</v>
      </c>
      <c r="E189" s="2">
        <v>239.68</v>
      </c>
      <c r="F189" s="2">
        <v>240.74</v>
      </c>
      <c r="G189" s="1">
        <v>89308704</v>
      </c>
      <c r="H189" s="8">
        <f t="shared" si="4"/>
        <v>238.12650000000002</v>
      </c>
      <c r="I189" s="19">
        <f t="shared" si="5"/>
        <v>235.49099999999993</v>
      </c>
      <c r="J189" s="8">
        <f>testdata[[#This Row],[SMA(20)]]+0.025*testdata[[#This Row],[SMA(20)]]</f>
        <v>244.07966250000001</v>
      </c>
      <c r="K189" s="8">
        <f>testdata[[#This Row],[SMA(20)]]-0.025*testdata[[#This Row],[SMA(20)]]</f>
        <v>232.17333750000003</v>
      </c>
      <c r="L189" s="16">
        <f>testdata[[#This Row],[close]]-testdata[[#This Row],[SMA(TW)]]</f>
        <v>5.2490000000000805</v>
      </c>
      <c r="M189"/>
    </row>
    <row r="190" spans="1:13" x14ac:dyDescent="0.25">
      <c r="A190" s="6">
        <v>189</v>
      </c>
      <c r="B190" s="3">
        <v>43010</v>
      </c>
      <c r="C190" s="2">
        <v>240.98</v>
      </c>
      <c r="D190" s="2">
        <v>241.78</v>
      </c>
      <c r="E190" s="2">
        <v>240.8</v>
      </c>
      <c r="F190" s="2">
        <v>241.78</v>
      </c>
      <c r="G190" s="1">
        <v>61596044</v>
      </c>
      <c r="H190" s="8">
        <f t="shared" si="4"/>
        <v>238.4</v>
      </c>
      <c r="I190" s="19">
        <f t="shared" si="5"/>
        <v>235.88749999999999</v>
      </c>
      <c r="J190" s="8">
        <f>testdata[[#This Row],[SMA(20)]]+0.025*testdata[[#This Row],[SMA(20)]]</f>
        <v>244.36</v>
      </c>
      <c r="K190" s="8">
        <f>testdata[[#This Row],[SMA(20)]]-0.025*testdata[[#This Row],[SMA(20)]]</f>
        <v>232.44</v>
      </c>
      <c r="L190" s="16">
        <f>testdata[[#This Row],[close]]-testdata[[#This Row],[SMA(TW)]]</f>
        <v>5.8925000000000125</v>
      </c>
      <c r="M190"/>
    </row>
    <row r="191" spans="1:13" x14ac:dyDescent="0.25">
      <c r="A191" s="6">
        <v>190</v>
      </c>
      <c r="B191" s="3">
        <v>43011</v>
      </c>
      <c r="C191" s="2">
        <v>241.91</v>
      </c>
      <c r="D191" s="2">
        <v>242.33</v>
      </c>
      <c r="E191" s="2">
        <v>241.69</v>
      </c>
      <c r="F191" s="2">
        <v>242.3</v>
      </c>
      <c r="G191" s="1">
        <v>69722704</v>
      </c>
      <c r="H191" s="8">
        <f t="shared" si="4"/>
        <v>238.78400000000002</v>
      </c>
      <c r="I191" s="19">
        <f t="shared" si="5"/>
        <v>236.16649999999998</v>
      </c>
      <c r="J191" s="8">
        <f>testdata[[#This Row],[SMA(20)]]+0.025*testdata[[#This Row],[SMA(20)]]</f>
        <v>244.75360000000003</v>
      </c>
      <c r="K191" s="8">
        <f>testdata[[#This Row],[SMA(20)]]-0.025*testdata[[#This Row],[SMA(20)]]</f>
        <v>232.81440000000001</v>
      </c>
      <c r="L191" s="16">
        <f>testdata[[#This Row],[close]]-testdata[[#This Row],[SMA(TW)]]</f>
        <v>6.1335000000000264</v>
      </c>
      <c r="M191"/>
    </row>
    <row r="192" spans="1:13" x14ac:dyDescent="0.25">
      <c r="A192" s="6">
        <v>191</v>
      </c>
      <c r="B192" s="3">
        <v>43012</v>
      </c>
      <c r="C192" s="2">
        <v>242.13</v>
      </c>
      <c r="D192" s="2">
        <v>242.85</v>
      </c>
      <c r="E192" s="2">
        <v>242.01</v>
      </c>
      <c r="F192" s="2">
        <v>242.58</v>
      </c>
      <c r="G192" s="1">
        <v>58392872</v>
      </c>
      <c r="H192" s="8">
        <f t="shared" si="4"/>
        <v>239.14199999999997</v>
      </c>
      <c r="I192" s="19">
        <f t="shared" si="5"/>
        <v>236.45549999999997</v>
      </c>
      <c r="J192" s="8">
        <f>testdata[[#This Row],[SMA(20)]]+0.025*testdata[[#This Row],[SMA(20)]]</f>
        <v>245.12054999999998</v>
      </c>
      <c r="K192" s="8">
        <f>testdata[[#This Row],[SMA(20)]]-0.025*testdata[[#This Row],[SMA(20)]]</f>
        <v>233.16344999999995</v>
      </c>
      <c r="L192" s="16">
        <f>testdata[[#This Row],[close]]-testdata[[#This Row],[SMA(TW)]]</f>
        <v>6.1245000000000402</v>
      </c>
      <c r="M192"/>
    </row>
    <row r="193" spans="1:13" x14ac:dyDescent="0.25">
      <c r="A193" s="6">
        <v>192</v>
      </c>
      <c r="B193" s="3">
        <v>43013</v>
      </c>
      <c r="C193" s="2">
        <v>242.95</v>
      </c>
      <c r="D193" s="2">
        <v>244.04</v>
      </c>
      <c r="E193" s="2">
        <v>242.62</v>
      </c>
      <c r="F193" s="2">
        <v>244.02</v>
      </c>
      <c r="G193" s="1">
        <v>66291980</v>
      </c>
      <c r="H193" s="8">
        <f t="shared" si="4"/>
        <v>239.57349999999997</v>
      </c>
      <c r="I193" s="19">
        <f t="shared" si="5"/>
        <v>236.77450000000005</v>
      </c>
      <c r="J193" s="8">
        <f>testdata[[#This Row],[SMA(20)]]+0.025*testdata[[#This Row],[SMA(20)]]</f>
        <v>245.56283749999997</v>
      </c>
      <c r="K193" s="8">
        <f>testdata[[#This Row],[SMA(20)]]-0.025*testdata[[#This Row],[SMA(20)]]</f>
        <v>233.58416249999996</v>
      </c>
      <c r="L193" s="16">
        <f>testdata[[#This Row],[close]]-testdata[[#This Row],[SMA(TW)]]</f>
        <v>7.2454999999999643</v>
      </c>
      <c r="M193"/>
    </row>
    <row r="194" spans="1:13" x14ac:dyDescent="0.25">
      <c r="A194" s="6">
        <v>193</v>
      </c>
      <c r="B194" s="3">
        <v>43014</v>
      </c>
      <c r="C194" s="2">
        <v>243.53</v>
      </c>
      <c r="D194" s="2">
        <v>244.06</v>
      </c>
      <c r="E194" s="2">
        <v>243.25</v>
      </c>
      <c r="F194" s="2">
        <v>243.74</v>
      </c>
      <c r="G194" s="1">
        <v>84161696</v>
      </c>
      <c r="H194" s="8">
        <f t="shared" si="4"/>
        <v>240.00500000000002</v>
      </c>
      <c r="I194" s="19">
        <f t="shared" si="5"/>
        <v>237.04150000000004</v>
      </c>
      <c r="J194" s="8">
        <f>testdata[[#This Row],[SMA(20)]]+0.025*testdata[[#This Row],[SMA(20)]]</f>
        <v>246.00512500000002</v>
      </c>
      <c r="K194" s="8">
        <f>testdata[[#This Row],[SMA(20)]]-0.025*testdata[[#This Row],[SMA(20)]]</f>
        <v>234.00487500000003</v>
      </c>
      <c r="L194" s="16">
        <f>testdata[[#This Row],[close]]-testdata[[#This Row],[SMA(TW)]]</f>
        <v>6.6984999999999673</v>
      </c>
      <c r="M194"/>
    </row>
    <row r="195" spans="1:13" x14ac:dyDescent="0.25">
      <c r="A195" s="6">
        <v>194</v>
      </c>
      <c r="B195" s="3">
        <v>43017</v>
      </c>
      <c r="C195" s="2">
        <v>243.99</v>
      </c>
      <c r="D195" s="2">
        <v>244.06</v>
      </c>
      <c r="E195" s="2">
        <v>243.05</v>
      </c>
      <c r="F195" s="2">
        <v>243.34</v>
      </c>
      <c r="G195" s="1">
        <v>37363944</v>
      </c>
      <c r="H195" s="8">
        <f t="shared" si="4"/>
        <v>240.29100000000003</v>
      </c>
      <c r="I195" s="19">
        <f t="shared" si="5"/>
        <v>237.31550000000001</v>
      </c>
      <c r="J195" s="8">
        <f>testdata[[#This Row],[SMA(20)]]+0.025*testdata[[#This Row],[SMA(20)]]</f>
        <v>246.29827500000002</v>
      </c>
      <c r="K195" s="8">
        <f>testdata[[#This Row],[SMA(20)]]-0.025*testdata[[#This Row],[SMA(20)]]</f>
        <v>234.28372500000003</v>
      </c>
      <c r="L195" s="16">
        <f>testdata[[#This Row],[close]]-testdata[[#This Row],[SMA(TW)]]</f>
        <v>6.0244999999999891</v>
      </c>
      <c r="M195"/>
    </row>
    <row r="196" spans="1:13" x14ac:dyDescent="0.25">
      <c r="A196" s="6">
        <v>195</v>
      </c>
      <c r="B196" s="3">
        <v>43018</v>
      </c>
      <c r="C196" s="2">
        <v>243.96</v>
      </c>
      <c r="D196" s="2">
        <v>244.4</v>
      </c>
      <c r="E196" s="2">
        <v>243.37</v>
      </c>
      <c r="F196" s="2">
        <v>243.98</v>
      </c>
      <c r="G196" s="1">
        <v>44934412</v>
      </c>
      <c r="H196" s="8">
        <f t="shared" si="4"/>
        <v>240.56899999999996</v>
      </c>
      <c r="I196" s="19">
        <f t="shared" si="5"/>
        <v>237.62250000000003</v>
      </c>
      <c r="J196" s="8">
        <f>testdata[[#This Row],[SMA(20)]]+0.025*testdata[[#This Row],[SMA(20)]]</f>
        <v>246.58322499999997</v>
      </c>
      <c r="K196" s="8">
        <f>testdata[[#This Row],[SMA(20)]]-0.025*testdata[[#This Row],[SMA(20)]]</f>
        <v>234.55477499999995</v>
      </c>
      <c r="L196" s="16">
        <f>testdata[[#This Row],[close]]-testdata[[#This Row],[SMA(TW)]]</f>
        <v>6.3574999999999591</v>
      </c>
      <c r="M196"/>
    </row>
    <row r="197" spans="1:13" x14ac:dyDescent="0.25">
      <c r="A197" s="6">
        <v>196</v>
      </c>
      <c r="B197" s="3">
        <v>43019</v>
      </c>
      <c r="C197" s="2">
        <v>243.88</v>
      </c>
      <c r="D197" s="2">
        <v>244.37</v>
      </c>
      <c r="E197" s="2">
        <v>243.7</v>
      </c>
      <c r="F197" s="2">
        <v>244.37</v>
      </c>
      <c r="G197" s="1">
        <v>49752644</v>
      </c>
      <c r="H197" s="8">
        <f t="shared" si="4"/>
        <v>240.86049999999994</v>
      </c>
      <c r="I197" s="19">
        <f t="shared" si="5"/>
        <v>237.88850000000008</v>
      </c>
      <c r="J197" s="8">
        <f>testdata[[#This Row],[SMA(20)]]+0.025*testdata[[#This Row],[SMA(20)]]</f>
        <v>246.88201249999995</v>
      </c>
      <c r="K197" s="8">
        <f>testdata[[#This Row],[SMA(20)]]-0.025*testdata[[#This Row],[SMA(20)]]</f>
        <v>234.83898749999994</v>
      </c>
      <c r="L197" s="16">
        <f>testdata[[#This Row],[close]]-testdata[[#This Row],[SMA(TW)]]</f>
        <v>6.4814999999999259</v>
      </c>
      <c r="M197"/>
    </row>
    <row r="198" spans="1:13" x14ac:dyDescent="0.25">
      <c r="A198" s="6">
        <v>197</v>
      </c>
      <c r="B198" s="3">
        <v>43020</v>
      </c>
      <c r="C198" s="2">
        <v>244.02</v>
      </c>
      <c r="D198" s="2">
        <v>244.41</v>
      </c>
      <c r="E198" s="2">
        <v>243.74</v>
      </c>
      <c r="F198" s="2">
        <v>244</v>
      </c>
      <c r="G198" s="1">
        <v>49116908</v>
      </c>
      <c r="H198" s="8">
        <f t="shared" si="4"/>
        <v>241.13749999999999</v>
      </c>
      <c r="I198" s="19">
        <f t="shared" si="5"/>
        <v>238.12650000000002</v>
      </c>
      <c r="J198" s="8">
        <f>testdata[[#This Row],[SMA(20)]]+0.025*testdata[[#This Row],[SMA(20)]]</f>
        <v>247.16593749999998</v>
      </c>
      <c r="K198" s="8">
        <f>testdata[[#This Row],[SMA(20)]]-0.025*testdata[[#This Row],[SMA(20)]]</f>
        <v>235.10906249999999</v>
      </c>
      <c r="L198" s="16">
        <f>testdata[[#This Row],[close]]-testdata[[#This Row],[SMA(TW)]]</f>
        <v>5.8734999999999786</v>
      </c>
      <c r="M198"/>
    </row>
    <row r="199" spans="1:13" x14ac:dyDescent="0.25">
      <c r="A199" s="6">
        <v>198</v>
      </c>
      <c r="B199" s="3">
        <v>43021</v>
      </c>
      <c r="C199" s="2">
        <v>244.48</v>
      </c>
      <c r="D199" s="2">
        <v>244.61</v>
      </c>
      <c r="E199" s="2">
        <v>244</v>
      </c>
      <c r="F199" s="2">
        <v>244.3</v>
      </c>
      <c r="G199" s="1">
        <v>57189416</v>
      </c>
      <c r="H199" s="8">
        <f t="shared" si="4"/>
        <v>241.41350000000003</v>
      </c>
      <c r="I199" s="19">
        <f t="shared" si="5"/>
        <v>238.4</v>
      </c>
      <c r="J199" s="8">
        <f>testdata[[#This Row],[SMA(20)]]+0.025*testdata[[#This Row],[SMA(20)]]</f>
        <v>247.44883750000002</v>
      </c>
      <c r="K199" s="8">
        <f>testdata[[#This Row],[SMA(20)]]-0.025*testdata[[#This Row],[SMA(20)]]</f>
        <v>235.37816250000003</v>
      </c>
      <c r="L199" s="16">
        <f>testdata[[#This Row],[close]]-testdata[[#This Row],[SMA(TW)]]</f>
        <v>5.9000000000000057</v>
      </c>
      <c r="M199"/>
    </row>
    <row r="200" spans="1:13" x14ac:dyDescent="0.25">
      <c r="A200" s="6">
        <v>199</v>
      </c>
      <c r="B200" s="3">
        <v>43024</v>
      </c>
      <c r="C200" s="2">
        <v>244.55</v>
      </c>
      <c r="D200" s="2">
        <v>244.84</v>
      </c>
      <c r="E200" s="2">
        <v>244.18</v>
      </c>
      <c r="F200" s="2">
        <v>244.63</v>
      </c>
      <c r="G200" s="1">
        <v>39887916</v>
      </c>
      <c r="H200" s="8">
        <f t="shared" si="4"/>
        <v>241.68050000000002</v>
      </c>
      <c r="I200" s="19">
        <f t="shared" si="5"/>
        <v>238.78400000000002</v>
      </c>
      <c r="J200" s="8">
        <f>testdata[[#This Row],[SMA(20)]]+0.025*testdata[[#This Row],[SMA(20)]]</f>
        <v>247.72251250000002</v>
      </c>
      <c r="K200" s="8">
        <f>testdata[[#This Row],[SMA(20)]]-0.025*testdata[[#This Row],[SMA(20)]]</f>
        <v>235.63848750000002</v>
      </c>
      <c r="L200" s="16">
        <f>testdata[[#This Row],[close]]-testdata[[#This Row],[SMA(TW)]]</f>
        <v>5.8459999999999752</v>
      </c>
      <c r="M200"/>
    </row>
    <row r="201" spans="1:13" x14ac:dyDescent="0.25">
      <c r="A201" s="6">
        <v>200</v>
      </c>
      <c r="B201" s="3">
        <v>43025</v>
      </c>
      <c r="C201" s="2">
        <v>244.57</v>
      </c>
      <c r="D201" s="2">
        <v>244.85</v>
      </c>
      <c r="E201" s="2">
        <v>244.33</v>
      </c>
      <c r="F201" s="2">
        <v>244.8</v>
      </c>
      <c r="G201" s="1">
        <v>32936836</v>
      </c>
      <c r="H201" s="8">
        <f t="shared" si="4"/>
        <v>241.94400000000002</v>
      </c>
      <c r="I201" s="19">
        <f t="shared" si="5"/>
        <v>239.14199999999997</v>
      </c>
      <c r="J201" s="8">
        <f>testdata[[#This Row],[SMA(20)]]+0.025*testdata[[#This Row],[SMA(20)]]</f>
        <v>247.99260000000001</v>
      </c>
      <c r="K201" s="8">
        <f>testdata[[#This Row],[SMA(20)]]-0.025*testdata[[#This Row],[SMA(20)]]</f>
        <v>235.89540000000002</v>
      </c>
      <c r="L201" s="16">
        <f>testdata[[#This Row],[close]]-testdata[[#This Row],[SMA(TW)]]</f>
        <v>5.6580000000000439</v>
      </c>
      <c r="M201"/>
    </row>
    <row r="202" spans="1:13" x14ac:dyDescent="0.25">
      <c r="A202" s="6">
        <v>201</v>
      </c>
      <c r="B202" s="3">
        <v>43026</v>
      </c>
      <c r="C202" s="2">
        <v>245.21</v>
      </c>
      <c r="D202" s="2">
        <v>245.26</v>
      </c>
      <c r="E202" s="2">
        <v>244.83</v>
      </c>
      <c r="F202" s="2">
        <v>245.04</v>
      </c>
      <c r="G202" s="1">
        <v>42670820</v>
      </c>
      <c r="H202" s="8">
        <f t="shared" si="4"/>
        <v>242.21550000000002</v>
      </c>
      <c r="I202" s="19">
        <f t="shared" si="5"/>
        <v>239.57349999999997</v>
      </c>
      <c r="J202" s="8">
        <f>testdata[[#This Row],[SMA(20)]]+0.025*testdata[[#This Row],[SMA(20)]]</f>
        <v>248.27088750000001</v>
      </c>
      <c r="K202" s="8">
        <f>testdata[[#This Row],[SMA(20)]]-0.025*testdata[[#This Row],[SMA(20)]]</f>
        <v>236.16011250000003</v>
      </c>
      <c r="L202" s="16">
        <f>testdata[[#This Row],[close]]-testdata[[#This Row],[SMA(TW)]]</f>
        <v>5.4665000000000248</v>
      </c>
      <c r="M202"/>
    </row>
    <row r="203" spans="1:13" x14ac:dyDescent="0.25">
      <c r="A203" s="6">
        <v>202</v>
      </c>
      <c r="B203" s="3">
        <v>43027</v>
      </c>
      <c r="C203" s="2">
        <v>244.18</v>
      </c>
      <c r="D203" s="2">
        <v>245.14</v>
      </c>
      <c r="E203" s="2">
        <v>243.72</v>
      </c>
      <c r="F203" s="2">
        <v>245.1</v>
      </c>
      <c r="G203" s="1">
        <v>64602432</v>
      </c>
      <c r="H203" s="8">
        <f t="shared" si="4"/>
        <v>242.52200000000002</v>
      </c>
      <c r="I203" s="19">
        <f t="shared" si="5"/>
        <v>240.00500000000002</v>
      </c>
      <c r="J203" s="8">
        <f>testdata[[#This Row],[SMA(20)]]+0.025*testdata[[#This Row],[SMA(20)]]</f>
        <v>248.58505000000002</v>
      </c>
      <c r="K203" s="8">
        <f>testdata[[#This Row],[SMA(20)]]-0.025*testdata[[#This Row],[SMA(20)]]</f>
        <v>236.45895000000002</v>
      </c>
      <c r="L203" s="16">
        <f>testdata[[#This Row],[close]]-testdata[[#This Row],[SMA(TW)]]</f>
        <v>5.0949999999999704</v>
      </c>
      <c r="M203"/>
    </row>
    <row r="204" spans="1:13" x14ac:dyDescent="0.25">
      <c r="A204" s="6">
        <v>203</v>
      </c>
      <c r="B204" s="3">
        <v>43028</v>
      </c>
      <c r="C204" s="2">
        <v>245.98</v>
      </c>
      <c r="D204" s="2">
        <v>246.4</v>
      </c>
      <c r="E204" s="2">
        <v>245.09</v>
      </c>
      <c r="F204" s="2">
        <v>246.37</v>
      </c>
      <c r="G204" s="1">
        <v>93063952</v>
      </c>
      <c r="H204" s="8">
        <f t="shared" si="4"/>
        <v>242.8895</v>
      </c>
      <c r="I204" s="19">
        <f t="shared" si="5"/>
        <v>240.29100000000003</v>
      </c>
      <c r="J204" s="8">
        <f>testdata[[#This Row],[SMA(20)]]+0.025*testdata[[#This Row],[SMA(20)]]</f>
        <v>248.9617375</v>
      </c>
      <c r="K204" s="8">
        <f>testdata[[#This Row],[SMA(20)]]-0.025*testdata[[#This Row],[SMA(20)]]</f>
        <v>236.8172625</v>
      </c>
      <c r="L204" s="16">
        <f>testdata[[#This Row],[close]]-testdata[[#This Row],[SMA(TW)]]</f>
        <v>6.0789999999999793</v>
      </c>
      <c r="M204"/>
    </row>
    <row r="205" spans="1:13" x14ac:dyDescent="0.25">
      <c r="A205" s="6">
        <v>204</v>
      </c>
      <c r="B205" s="3">
        <v>43031</v>
      </c>
      <c r="C205" s="2">
        <v>246.72</v>
      </c>
      <c r="D205" s="2">
        <v>246.75</v>
      </c>
      <c r="E205" s="2">
        <v>245.33</v>
      </c>
      <c r="F205" s="2">
        <v>245.41</v>
      </c>
      <c r="G205" s="1">
        <v>66701640</v>
      </c>
      <c r="H205" s="8">
        <f t="shared" si="4"/>
        <v>243.23350000000005</v>
      </c>
      <c r="I205" s="19">
        <f t="shared" si="5"/>
        <v>240.56899999999996</v>
      </c>
      <c r="J205" s="8">
        <f>testdata[[#This Row],[SMA(20)]]+0.025*testdata[[#This Row],[SMA(20)]]</f>
        <v>249.31433750000005</v>
      </c>
      <c r="K205" s="8">
        <f>testdata[[#This Row],[SMA(20)]]-0.025*testdata[[#This Row],[SMA(20)]]</f>
        <v>237.15266250000005</v>
      </c>
      <c r="L205" s="16">
        <f>testdata[[#This Row],[close]]-testdata[[#This Row],[SMA(TW)]]</f>
        <v>4.8410000000000366</v>
      </c>
      <c r="M205"/>
    </row>
    <row r="206" spans="1:13" x14ac:dyDescent="0.25">
      <c r="A206" s="6">
        <v>205</v>
      </c>
      <c r="B206" s="3">
        <v>43032</v>
      </c>
      <c r="C206" s="2">
        <v>245.88</v>
      </c>
      <c r="D206" s="2">
        <v>246.1</v>
      </c>
      <c r="E206" s="2">
        <v>245.45</v>
      </c>
      <c r="F206" s="2">
        <v>245.84</v>
      </c>
      <c r="G206" s="1">
        <v>69853928</v>
      </c>
      <c r="H206" s="8">
        <f t="shared" si="4"/>
        <v>243.5915</v>
      </c>
      <c r="I206" s="19">
        <f t="shared" si="5"/>
        <v>240.86049999999994</v>
      </c>
      <c r="J206" s="8">
        <f>testdata[[#This Row],[SMA(20)]]+0.025*testdata[[#This Row],[SMA(20)]]</f>
        <v>249.6812875</v>
      </c>
      <c r="K206" s="8">
        <f>testdata[[#This Row],[SMA(20)]]-0.025*testdata[[#This Row],[SMA(20)]]</f>
        <v>237.5017125</v>
      </c>
      <c r="L206" s="16">
        <f>testdata[[#This Row],[close]]-testdata[[#This Row],[SMA(TW)]]</f>
        <v>4.9795000000000584</v>
      </c>
      <c r="M206"/>
    </row>
    <row r="207" spans="1:13" x14ac:dyDescent="0.25">
      <c r="A207" s="6">
        <v>206</v>
      </c>
      <c r="B207" s="3">
        <v>43033</v>
      </c>
      <c r="C207" s="2">
        <v>245.48</v>
      </c>
      <c r="D207" s="2">
        <v>245.6</v>
      </c>
      <c r="E207" s="2">
        <v>243.39</v>
      </c>
      <c r="F207" s="2">
        <v>244.63</v>
      </c>
      <c r="G207" s="1">
        <v>108236672</v>
      </c>
      <c r="H207" s="8">
        <f t="shared" si="4"/>
        <v>243.84300000000002</v>
      </c>
      <c r="I207" s="19">
        <f t="shared" si="5"/>
        <v>241.13749999999999</v>
      </c>
      <c r="J207" s="8">
        <f>testdata[[#This Row],[SMA(20)]]+0.025*testdata[[#This Row],[SMA(20)]]</f>
        <v>249.93907500000003</v>
      </c>
      <c r="K207" s="8">
        <f>testdata[[#This Row],[SMA(20)]]-0.025*testdata[[#This Row],[SMA(20)]]</f>
        <v>237.746925</v>
      </c>
      <c r="L207" s="16">
        <f>testdata[[#This Row],[close]]-testdata[[#This Row],[SMA(TW)]]</f>
        <v>3.4925000000000068</v>
      </c>
      <c r="M207"/>
    </row>
    <row r="208" spans="1:13" x14ac:dyDescent="0.25">
      <c r="A208" s="6">
        <v>207</v>
      </c>
      <c r="B208" s="3">
        <v>43034</v>
      </c>
      <c r="C208" s="2">
        <v>245.3</v>
      </c>
      <c r="D208" s="2">
        <v>245.59</v>
      </c>
      <c r="E208" s="2">
        <v>244.81</v>
      </c>
      <c r="F208" s="2">
        <v>244.94</v>
      </c>
      <c r="G208" s="1">
        <v>72840760</v>
      </c>
      <c r="H208" s="8">
        <f t="shared" si="4"/>
        <v>244.09549999999999</v>
      </c>
      <c r="I208" s="19">
        <f t="shared" si="5"/>
        <v>241.41350000000003</v>
      </c>
      <c r="J208" s="8">
        <f>testdata[[#This Row],[SMA(20)]]+0.025*testdata[[#This Row],[SMA(20)]]</f>
        <v>250.19788749999998</v>
      </c>
      <c r="K208" s="8">
        <f>testdata[[#This Row],[SMA(20)]]-0.025*testdata[[#This Row],[SMA(20)]]</f>
        <v>237.9931125</v>
      </c>
      <c r="L208" s="16">
        <f>testdata[[#This Row],[close]]-testdata[[#This Row],[SMA(TW)]]</f>
        <v>3.5264999999999702</v>
      </c>
      <c r="M208"/>
    </row>
    <row r="209" spans="1:13" x14ac:dyDescent="0.25">
      <c r="A209" s="6">
        <v>208</v>
      </c>
      <c r="B209" s="3">
        <v>43035</v>
      </c>
      <c r="C209" s="2">
        <v>245.76</v>
      </c>
      <c r="D209" s="2">
        <v>247.12</v>
      </c>
      <c r="E209" s="2">
        <v>244.95</v>
      </c>
      <c r="F209" s="2">
        <v>246.94</v>
      </c>
      <c r="G209" s="1">
        <v>89292576</v>
      </c>
      <c r="H209" s="8">
        <f t="shared" si="4"/>
        <v>244.40549999999999</v>
      </c>
      <c r="I209" s="19">
        <f t="shared" si="5"/>
        <v>241.68050000000002</v>
      </c>
      <c r="J209" s="8">
        <f>testdata[[#This Row],[SMA(20)]]+0.025*testdata[[#This Row],[SMA(20)]]</f>
        <v>250.5156375</v>
      </c>
      <c r="K209" s="8">
        <f>testdata[[#This Row],[SMA(20)]]-0.025*testdata[[#This Row],[SMA(20)]]</f>
        <v>238.29536249999998</v>
      </c>
      <c r="L209" s="16">
        <f>testdata[[#This Row],[close]]-testdata[[#This Row],[SMA(TW)]]</f>
        <v>5.2594999999999743</v>
      </c>
      <c r="M209"/>
    </row>
    <row r="210" spans="1:13" x14ac:dyDescent="0.25">
      <c r="A210" s="6">
        <v>209</v>
      </c>
      <c r="B210" s="3">
        <v>43038</v>
      </c>
      <c r="C210" s="2">
        <v>246.33</v>
      </c>
      <c r="D210" s="2">
        <v>246.84</v>
      </c>
      <c r="E210" s="2">
        <v>245.7</v>
      </c>
      <c r="F210" s="2">
        <v>246.02</v>
      </c>
      <c r="G210" s="1">
        <v>56652224</v>
      </c>
      <c r="H210" s="8">
        <f t="shared" si="4"/>
        <v>244.61749999999998</v>
      </c>
      <c r="I210" s="19">
        <f t="shared" si="5"/>
        <v>241.94400000000002</v>
      </c>
      <c r="J210" s="8">
        <f>testdata[[#This Row],[SMA(20)]]+0.025*testdata[[#This Row],[SMA(20)]]</f>
        <v>250.73293749999999</v>
      </c>
      <c r="K210" s="8">
        <f>testdata[[#This Row],[SMA(20)]]-0.025*testdata[[#This Row],[SMA(20)]]</f>
        <v>238.50206249999997</v>
      </c>
      <c r="L210" s="16">
        <f>testdata[[#This Row],[close]]-testdata[[#This Row],[SMA(TW)]]</f>
        <v>4.0759999999999934</v>
      </c>
      <c r="M210"/>
    </row>
    <row r="211" spans="1:13" x14ac:dyDescent="0.25">
      <c r="A211" s="6">
        <v>210</v>
      </c>
      <c r="B211" s="3">
        <v>43039</v>
      </c>
      <c r="C211" s="2">
        <v>246.44</v>
      </c>
      <c r="D211" s="2">
        <v>246.69</v>
      </c>
      <c r="E211" s="2">
        <v>246.08</v>
      </c>
      <c r="F211" s="2">
        <v>246.41</v>
      </c>
      <c r="G211" s="1">
        <v>62933720</v>
      </c>
      <c r="H211" s="8">
        <f t="shared" si="4"/>
        <v>244.82300000000001</v>
      </c>
      <c r="I211" s="19">
        <f t="shared" si="5"/>
        <v>242.21550000000002</v>
      </c>
      <c r="J211" s="8">
        <f>testdata[[#This Row],[SMA(20)]]+0.025*testdata[[#This Row],[SMA(20)]]</f>
        <v>250.94357500000001</v>
      </c>
      <c r="K211" s="8">
        <f>testdata[[#This Row],[SMA(20)]]-0.025*testdata[[#This Row],[SMA(20)]]</f>
        <v>238.70242500000001</v>
      </c>
      <c r="L211" s="16">
        <f>testdata[[#This Row],[close]]-testdata[[#This Row],[SMA(TW)]]</f>
        <v>4.1944999999999766</v>
      </c>
      <c r="M211"/>
    </row>
    <row r="212" spans="1:13" x14ac:dyDescent="0.25">
      <c r="A212" s="6">
        <v>211</v>
      </c>
      <c r="B212" s="3">
        <v>43040</v>
      </c>
      <c r="C212" s="2">
        <v>247.26</v>
      </c>
      <c r="D212" s="2">
        <v>247.63</v>
      </c>
      <c r="E212" s="2">
        <v>246.33</v>
      </c>
      <c r="F212" s="2">
        <v>246.73</v>
      </c>
      <c r="G212" s="1">
        <v>56565660</v>
      </c>
      <c r="H212" s="8">
        <f t="shared" si="4"/>
        <v>245.03049999999999</v>
      </c>
      <c r="I212" s="19">
        <f t="shared" si="5"/>
        <v>242.52200000000002</v>
      </c>
      <c r="J212" s="8">
        <f>testdata[[#This Row],[SMA(20)]]+0.025*testdata[[#This Row],[SMA(20)]]</f>
        <v>251.1562625</v>
      </c>
      <c r="K212" s="8">
        <f>testdata[[#This Row],[SMA(20)]]-0.025*testdata[[#This Row],[SMA(20)]]</f>
        <v>238.90473749999998</v>
      </c>
      <c r="L212" s="16">
        <f>testdata[[#This Row],[close]]-testdata[[#This Row],[SMA(TW)]]</f>
        <v>4.20799999999997</v>
      </c>
      <c r="M212"/>
    </row>
    <row r="213" spans="1:13" x14ac:dyDescent="0.25">
      <c r="A213" s="6">
        <v>212</v>
      </c>
      <c r="B213" s="3">
        <v>43041</v>
      </c>
      <c r="C213" s="2">
        <v>246.66</v>
      </c>
      <c r="D213" s="2">
        <v>246.98</v>
      </c>
      <c r="E213" s="2">
        <v>245.49</v>
      </c>
      <c r="F213" s="2">
        <v>246.83</v>
      </c>
      <c r="G213" s="1">
        <v>58910404</v>
      </c>
      <c r="H213" s="8">
        <f t="shared" si="4"/>
        <v>245.17099999999999</v>
      </c>
      <c r="I213" s="19">
        <f t="shared" si="5"/>
        <v>242.8895</v>
      </c>
      <c r="J213" s="8">
        <f>testdata[[#This Row],[SMA(20)]]+0.025*testdata[[#This Row],[SMA(20)]]</f>
        <v>251.300275</v>
      </c>
      <c r="K213" s="8">
        <f>testdata[[#This Row],[SMA(20)]]-0.025*testdata[[#This Row],[SMA(20)]]</f>
        <v>239.04172499999999</v>
      </c>
      <c r="L213" s="16">
        <f>testdata[[#This Row],[close]]-testdata[[#This Row],[SMA(TW)]]</f>
        <v>3.9405000000000143</v>
      </c>
      <c r="M213"/>
    </row>
    <row r="214" spans="1:13" x14ac:dyDescent="0.25">
      <c r="A214" s="6">
        <v>213</v>
      </c>
      <c r="B214" s="3">
        <v>43042</v>
      </c>
      <c r="C214" s="2">
        <v>247</v>
      </c>
      <c r="D214" s="2">
        <v>247.7</v>
      </c>
      <c r="E214" s="2">
        <v>246.55</v>
      </c>
      <c r="F214" s="2">
        <v>247.65</v>
      </c>
      <c r="G214" s="1">
        <v>62187496</v>
      </c>
      <c r="H214" s="8">
        <f t="shared" ref="H214:H277" si="6">AVERAGE(F195:F214)</f>
        <v>245.36649999999995</v>
      </c>
      <c r="I214" s="19">
        <f t="shared" si="5"/>
        <v>243.23350000000005</v>
      </c>
      <c r="J214" s="8">
        <f>testdata[[#This Row],[SMA(20)]]+0.025*testdata[[#This Row],[SMA(20)]]</f>
        <v>251.50066249999995</v>
      </c>
      <c r="K214" s="8">
        <f>testdata[[#This Row],[SMA(20)]]-0.025*testdata[[#This Row],[SMA(20)]]</f>
        <v>239.23233749999994</v>
      </c>
      <c r="L214" s="16">
        <f>testdata[[#This Row],[close]]-testdata[[#This Row],[SMA(TW)]]</f>
        <v>4.4164999999999566</v>
      </c>
      <c r="M214"/>
    </row>
    <row r="215" spans="1:13" x14ac:dyDescent="0.25">
      <c r="A215" s="6">
        <v>214</v>
      </c>
      <c r="B215" s="3">
        <v>43045</v>
      </c>
      <c r="C215" s="2">
        <v>247.51</v>
      </c>
      <c r="D215" s="2">
        <v>248.18</v>
      </c>
      <c r="E215" s="2">
        <v>247.43</v>
      </c>
      <c r="F215" s="2">
        <v>248.04</v>
      </c>
      <c r="G215" s="1">
        <v>51817160</v>
      </c>
      <c r="H215" s="8">
        <f t="shared" si="6"/>
        <v>245.60149999999999</v>
      </c>
      <c r="I215" s="19">
        <f t="shared" si="5"/>
        <v>243.5915</v>
      </c>
      <c r="J215" s="8">
        <f>testdata[[#This Row],[SMA(20)]]+0.025*testdata[[#This Row],[SMA(20)]]</f>
        <v>251.74153749999999</v>
      </c>
      <c r="K215" s="8">
        <f>testdata[[#This Row],[SMA(20)]]-0.025*testdata[[#This Row],[SMA(20)]]</f>
        <v>239.46146249999998</v>
      </c>
      <c r="L215" s="16">
        <f>testdata[[#This Row],[close]]-testdata[[#This Row],[SMA(TW)]]</f>
        <v>4.4484999999999957</v>
      </c>
      <c r="M215"/>
    </row>
    <row r="216" spans="1:13" x14ac:dyDescent="0.25">
      <c r="A216" s="6">
        <v>215</v>
      </c>
      <c r="B216" s="3">
        <v>43046</v>
      </c>
      <c r="C216" s="2">
        <v>248.15</v>
      </c>
      <c r="D216" s="2">
        <v>248.52</v>
      </c>
      <c r="E216" s="2">
        <v>247.31</v>
      </c>
      <c r="F216" s="2">
        <v>247.86</v>
      </c>
      <c r="G216" s="1">
        <v>60008920</v>
      </c>
      <c r="H216" s="8">
        <f t="shared" si="6"/>
        <v>245.7955</v>
      </c>
      <c r="I216" s="19">
        <f t="shared" si="5"/>
        <v>243.84300000000002</v>
      </c>
      <c r="J216" s="8">
        <f>testdata[[#This Row],[SMA(20)]]+0.025*testdata[[#This Row],[SMA(20)]]</f>
        <v>251.94038750000001</v>
      </c>
      <c r="K216" s="8">
        <f>testdata[[#This Row],[SMA(20)]]-0.025*testdata[[#This Row],[SMA(20)]]</f>
        <v>239.65061249999999</v>
      </c>
      <c r="L216" s="16">
        <f>testdata[[#This Row],[close]]-testdata[[#This Row],[SMA(TW)]]</f>
        <v>4.0169999999999959</v>
      </c>
      <c r="M216"/>
    </row>
    <row r="217" spans="1:13" x14ac:dyDescent="0.25">
      <c r="A217" s="6">
        <v>216</v>
      </c>
      <c r="B217" s="3">
        <v>43047</v>
      </c>
      <c r="C217" s="2">
        <v>247.67</v>
      </c>
      <c r="D217" s="2">
        <v>248.39</v>
      </c>
      <c r="E217" s="2">
        <v>247.37</v>
      </c>
      <c r="F217" s="2">
        <v>248.29</v>
      </c>
      <c r="G217" s="1">
        <v>52669760</v>
      </c>
      <c r="H217" s="8">
        <f t="shared" si="6"/>
        <v>245.99149999999995</v>
      </c>
      <c r="I217" s="19">
        <f t="shared" si="5"/>
        <v>244.09549999999999</v>
      </c>
      <c r="J217" s="8">
        <f>testdata[[#This Row],[SMA(20)]]+0.025*testdata[[#This Row],[SMA(20)]]</f>
        <v>252.14128749999995</v>
      </c>
      <c r="K217" s="8">
        <f>testdata[[#This Row],[SMA(20)]]-0.025*testdata[[#This Row],[SMA(20)]]</f>
        <v>239.84171249999994</v>
      </c>
      <c r="L217" s="16">
        <f>testdata[[#This Row],[close]]-testdata[[#This Row],[SMA(TW)]]</f>
        <v>4.194500000000005</v>
      </c>
      <c r="M217"/>
    </row>
    <row r="218" spans="1:13" x14ac:dyDescent="0.25">
      <c r="A218" s="6">
        <v>217</v>
      </c>
      <c r="B218" s="3">
        <v>43048</v>
      </c>
      <c r="C218" s="2">
        <v>246.96</v>
      </c>
      <c r="D218" s="2">
        <v>247.6</v>
      </c>
      <c r="E218" s="2">
        <v>245.65</v>
      </c>
      <c r="F218" s="2">
        <v>247.39</v>
      </c>
      <c r="G218" s="1">
        <v>99230672</v>
      </c>
      <c r="H218" s="8">
        <f t="shared" si="6"/>
        <v>246.161</v>
      </c>
      <c r="I218" s="19">
        <f t="shared" si="5"/>
        <v>244.40549999999999</v>
      </c>
      <c r="J218" s="8">
        <f>testdata[[#This Row],[SMA(20)]]+0.025*testdata[[#This Row],[SMA(20)]]</f>
        <v>252.31502499999999</v>
      </c>
      <c r="K218" s="8">
        <f>testdata[[#This Row],[SMA(20)]]-0.025*testdata[[#This Row],[SMA(20)]]</f>
        <v>240.00697500000001</v>
      </c>
      <c r="L218" s="16">
        <f>testdata[[#This Row],[close]]-testdata[[#This Row],[SMA(TW)]]</f>
        <v>2.984499999999997</v>
      </c>
      <c r="M218"/>
    </row>
    <row r="219" spans="1:13" x14ac:dyDescent="0.25">
      <c r="A219" s="6">
        <v>218</v>
      </c>
      <c r="B219" s="3">
        <v>43049</v>
      </c>
      <c r="C219" s="2">
        <v>246.96</v>
      </c>
      <c r="D219" s="2">
        <v>247.5</v>
      </c>
      <c r="E219" s="2">
        <v>246.62</v>
      </c>
      <c r="F219" s="2">
        <v>247.31</v>
      </c>
      <c r="G219" s="1">
        <v>62599644</v>
      </c>
      <c r="H219" s="8">
        <f t="shared" si="6"/>
        <v>246.31150000000002</v>
      </c>
      <c r="I219" s="19">
        <f t="shared" si="5"/>
        <v>244.61749999999998</v>
      </c>
      <c r="J219" s="8">
        <f>testdata[[#This Row],[SMA(20)]]+0.025*testdata[[#This Row],[SMA(20)]]</f>
        <v>252.46928750000004</v>
      </c>
      <c r="K219" s="8">
        <f>testdata[[#This Row],[SMA(20)]]-0.025*testdata[[#This Row],[SMA(20)]]</f>
        <v>240.15371250000001</v>
      </c>
      <c r="L219" s="16">
        <f>testdata[[#This Row],[close]]-testdata[[#This Row],[SMA(TW)]]</f>
        <v>2.6925000000000239</v>
      </c>
      <c r="M219"/>
    </row>
    <row r="220" spans="1:13" x14ac:dyDescent="0.25">
      <c r="A220" s="6">
        <v>219</v>
      </c>
      <c r="B220" s="3">
        <v>43052</v>
      </c>
      <c r="C220" s="2">
        <v>246.56</v>
      </c>
      <c r="D220" s="2">
        <v>247.79</v>
      </c>
      <c r="E220" s="2">
        <v>246.52</v>
      </c>
      <c r="F220" s="2">
        <v>247.54</v>
      </c>
      <c r="G220" s="1">
        <v>52418324</v>
      </c>
      <c r="H220" s="8">
        <f t="shared" si="6"/>
        <v>246.45700000000005</v>
      </c>
      <c r="I220" s="19">
        <f t="shared" si="5"/>
        <v>244.82300000000001</v>
      </c>
      <c r="J220" s="8">
        <f>testdata[[#This Row],[SMA(20)]]+0.025*testdata[[#This Row],[SMA(20)]]</f>
        <v>252.61842500000006</v>
      </c>
      <c r="K220" s="8">
        <f>testdata[[#This Row],[SMA(20)]]-0.025*testdata[[#This Row],[SMA(20)]]</f>
        <v>240.29557500000004</v>
      </c>
      <c r="L220" s="16">
        <f>testdata[[#This Row],[close]]-testdata[[#This Row],[SMA(TW)]]</f>
        <v>2.7169999999999845</v>
      </c>
      <c r="M220"/>
    </row>
    <row r="221" spans="1:13" x14ac:dyDescent="0.25">
      <c r="A221" s="6">
        <v>220</v>
      </c>
      <c r="B221" s="3">
        <v>43053</v>
      </c>
      <c r="C221" s="2">
        <v>246.66</v>
      </c>
      <c r="D221" s="2">
        <v>247.08</v>
      </c>
      <c r="E221" s="2">
        <v>245.8</v>
      </c>
      <c r="F221" s="2">
        <v>246.96</v>
      </c>
      <c r="G221" s="1">
        <v>63988136</v>
      </c>
      <c r="H221" s="8">
        <f t="shared" si="6"/>
        <v>246.565</v>
      </c>
      <c r="I221" s="19">
        <f t="shared" si="5"/>
        <v>245.03049999999999</v>
      </c>
      <c r="J221" s="8">
        <f>testdata[[#This Row],[SMA(20)]]+0.025*testdata[[#This Row],[SMA(20)]]</f>
        <v>252.72912500000001</v>
      </c>
      <c r="K221" s="8">
        <f>testdata[[#This Row],[SMA(20)]]-0.025*testdata[[#This Row],[SMA(20)]]</f>
        <v>240.40087499999998</v>
      </c>
      <c r="L221" s="16">
        <f>testdata[[#This Row],[close]]-testdata[[#This Row],[SMA(TW)]]</f>
        <v>1.9295000000000186</v>
      </c>
      <c r="M221"/>
    </row>
    <row r="222" spans="1:13" x14ac:dyDescent="0.25">
      <c r="A222" s="6">
        <v>221</v>
      </c>
      <c r="B222" s="3">
        <v>43054</v>
      </c>
      <c r="C222" s="2">
        <v>245.9</v>
      </c>
      <c r="D222" s="2">
        <v>246.48</v>
      </c>
      <c r="E222" s="2">
        <v>244.95</v>
      </c>
      <c r="F222" s="2">
        <v>245.73</v>
      </c>
      <c r="G222" s="1">
        <v>84334432</v>
      </c>
      <c r="H222" s="8">
        <f t="shared" si="6"/>
        <v>246.59949999999998</v>
      </c>
      <c r="I222" s="19">
        <f t="shared" si="5"/>
        <v>245.17099999999999</v>
      </c>
      <c r="J222" s="8">
        <f>testdata[[#This Row],[SMA(20)]]+0.025*testdata[[#This Row],[SMA(20)]]</f>
        <v>252.76448749999997</v>
      </c>
      <c r="K222" s="8">
        <f>testdata[[#This Row],[SMA(20)]]-0.025*testdata[[#This Row],[SMA(20)]]</f>
        <v>240.43451249999998</v>
      </c>
      <c r="L222" s="16">
        <f>testdata[[#This Row],[close]]-testdata[[#This Row],[SMA(TW)]]</f>
        <v>0.5589999999999975</v>
      </c>
      <c r="M222"/>
    </row>
    <row r="223" spans="1:13" x14ac:dyDescent="0.25">
      <c r="A223" s="6">
        <v>222</v>
      </c>
      <c r="B223" s="3">
        <v>43055</v>
      </c>
      <c r="C223" s="2">
        <v>246.76</v>
      </c>
      <c r="D223" s="2">
        <v>248.22</v>
      </c>
      <c r="E223" s="2">
        <v>246.72</v>
      </c>
      <c r="F223" s="2">
        <v>247.82</v>
      </c>
      <c r="G223" s="1">
        <v>70731712</v>
      </c>
      <c r="H223" s="8">
        <f t="shared" si="6"/>
        <v>246.73549999999994</v>
      </c>
      <c r="I223" s="19">
        <f t="shared" ref="I223:I286" si="7">AVERAGE(F195:F214)</f>
        <v>245.36649999999995</v>
      </c>
      <c r="J223" s="8">
        <f>testdata[[#This Row],[SMA(20)]]+0.025*testdata[[#This Row],[SMA(20)]]</f>
        <v>252.90388749999994</v>
      </c>
      <c r="K223" s="8">
        <f>testdata[[#This Row],[SMA(20)]]-0.025*testdata[[#This Row],[SMA(20)]]</f>
        <v>240.56711249999995</v>
      </c>
      <c r="L223" s="16">
        <f>testdata[[#This Row],[close]]-testdata[[#This Row],[SMA(TW)]]</f>
        <v>2.453500000000048</v>
      </c>
      <c r="M223"/>
    </row>
    <row r="224" spans="1:13" x14ac:dyDescent="0.25">
      <c r="A224" s="6">
        <v>223</v>
      </c>
      <c r="B224" s="3">
        <v>43056</v>
      </c>
      <c r="C224" s="2">
        <v>247.43</v>
      </c>
      <c r="D224" s="2">
        <v>247.79</v>
      </c>
      <c r="E224" s="2">
        <v>247</v>
      </c>
      <c r="F224" s="2">
        <v>247.09</v>
      </c>
      <c r="G224" s="1">
        <v>79059392</v>
      </c>
      <c r="H224" s="8">
        <f t="shared" si="6"/>
        <v>246.77149999999997</v>
      </c>
      <c r="I224" s="19">
        <f t="shared" si="7"/>
        <v>245.60149999999999</v>
      </c>
      <c r="J224" s="8">
        <f>testdata[[#This Row],[SMA(20)]]+0.025*testdata[[#This Row],[SMA(20)]]</f>
        <v>252.94078749999997</v>
      </c>
      <c r="K224" s="8">
        <f>testdata[[#This Row],[SMA(20)]]-0.025*testdata[[#This Row],[SMA(20)]]</f>
        <v>240.60221249999998</v>
      </c>
      <c r="L224" s="16">
        <f>testdata[[#This Row],[close]]-testdata[[#This Row],[SMA(TW)]]</f>
        <v>1.4885000000000161</v>
      </c>
      <c r="M224"/>
    </row>
    <row r="225" spans="1:13" x14ac:dyDescent="0.25">
      <c r="A225" s="6">
        <v>224</v>
      </c>
      <c r="B225" s="3">
        <v>43059</v>
      </c>
      <c r="C225" s="2">
        <v>247.36</v>
      </c>
      <c r="D225" s="2">
        <v>247.73</v>
      </c>
      <c r="E225" s="2">
        <v>247.09</v>
      </c>
      <c r="F225" s="2">
        <v>247.51</v>
      </c>
      <c r="G225" s="1">
        <v>50171324</v>
      </c>
      <c r="H225" s="8">
        <f t="shared" si="6"/>
        <v>246.87649999999999</v>
      </c>
      <c r="I225" s="19">
        <f t="shared" si="7"/>
        <v>245.7955</v>
      </c>
      <c r="J225" s="8">
        <f>testdata[[#This Row],[SMA(20)]]+0.025*testdata[[#This Row],[SMA(20)]]</f>
        <v>253.04841249999998</v>
      </c>
      <c r="K225" s="8">
        <f>testdata[[#This Row],[SMA(20)]]-0.025*testdata[[#This Row],[SMA(20)]]</f>
        <v>240.7045875</v>
      </c>
      <c r="L225" s="16">
        <f>testdata[[#This Row],[close]]-testdata[[#This Row],[SMA(TW)]]</f>
        <v>1.7144999999999868</v>
      </c>
      <c r="M225"/>
    </row>
    <row r="226" spans="1:13" x14ac:dyDescent="0.25">
      <c r="A226" s="6">
        <v>225</v>
      </c>
      <c r="B226" s="3">
        <v>43060</v>
      </c>
      <c r="C226" s="2">
        <v>248.35</v>
      </c>
      <c r="D226" s="2">
        <v>249.33</v>
      </c>
      <c r="E226" s="2">
        <v>247.47</v>
      </c>
      <c r="F226" s="2">
        <v>249.13</v>
      </c>
      <c r="G226" s="1">
        <v>72192504</v>
      </c>
      <c r="H226" s="8">
        <f t="shared" si="6"/>
        <v>247.04100000000003</v>
      </c>
      <c r="I226" s="19">
        <f t="shared" si="7"/>
        <v>245.99149999999995</v>
      </c>
      <c r="J226" s="8">
        <f>testdata[[#This Row],[SMA(20)]]+0.025*testdata[[#This Row],[SMA(20)]]</f>
        <v>253.21702500000004</v>
      </c>
      <c r="K226" s="8">
        <f>testdata[[#This Row],[SMA(20)]]-0.025*testdata[[#This Row],[SMA(20)]]</f>
        <v>240.86497500000002</v>
      </c>
      <c r="L226" s="16">
        <f>testdata[[#This Row],[close]]-testdata[[#This Row],[SMA(TW)]]</f>
        <v>3.1385000000000502</v>
      </c>
      <c r="M226"/>
    </row>
    <row r="227" spans="1:13" x14ac:dyDescent="0.25">
      <c r="A227" s="6">
        <v>226</v>
      </c>
      <c r="B227" s="3">
        <v>43061</v>
      </c>
      <c r="C227" s="2">
        <v>249.14</v>
      </c>
      <c r="D227" s="2">
        <v>249.28</v>
      </c>
      <c r="E227" s="2">
        <v>248.73</v>
      </c>
      <c r="F227" s="2">
        <v>248.91</v>
      </c>
      <c r="G227" s="1">
        <v>46996584</v>
      </c>
      <c r="H227" s="8">
        <f t="shared" si="6"/>
        <v>247.25500000000002</v>
      </c>
      <c r="I227" s="19">
        <f t="shared" si="7"/>
        <v>246.161</v>
      </c>
      <c r="J227" s="8">
        <f>testdata[[#This Row],[SMA(20)]]+0.025*testdata[[#This Row],[SMA(20)]]</f>
        <v>253.43637500000003</v>
      </c>
      <c r="K227" s="8">
        <f>testdata[[#This Row],[SMA(20)]]-0.025*testdata[[#This Row],[SMA(20)]]</f>
        <v>241.07362500000002</v>
      </c>
      <c r="L227" s="16">
        <f>testdata[[#This Row],[close]]-testdata[[#This Row],[SMA(TW)]]</f>
        <v>2.7489999999999952</v>
      </c>
      <c r="M227"/>
    </row>
    <row r="228" spans="1:13" x14ac:dyDescent="0.25">
      <c r="A228" s="6">
        <v>227</v>
      </c>
      <c r="B228" s="3">
        <v>43063</v>
      </c>
      <c r="C228" s="2">
        <v>249.45</v>
      </c>
      <c r="D228" s="2">
        <v>249.6</v>
      </c>
      <c r="E228" s="2">
        <v>249.29</v>
      </c>
      <c r="F228" s="2">
        <v>249.48</v>
      </c>
      <c r="G228" s="1">
        <v>29070892</v>
      </c>
      <c r="H228" s="8">
        <f t="shared" si="6"/>
        <v>247.48199999999997</v>
      </c>
      <c r="I228" s="19">
        <f t="shared" si="7"/>
        <v>246.31150000000002</v>
      </c>
      <c r="J228" s="8">
        <f>testdata[[#This Row],[SMA(20)]]+0.025*testdata[[#This Row],[SMA(20)]]</f>
        <v>253.66904999999997</v>
      </c>
      <c r="K228" s="8">
        <f>testdata[[#This Row],[SMA(20)]]-0.025*testdata[[#This Row],[SMA(20)]]</f>
        <v>241.29494999999997</v>
      </c>
      <c r="L228" s="16">
        <f>testdata[[#This Row],[close]]-testdata[[#This Row],[SMA(TW)]]</f>
        <v>3.1684999999999661</v>
      </c>
      <c r="M228"/>
    </row>
    <row r="229" spans="1:13" x14ac:dyDescent="0.25">
      <c r="A229" s="6">
        <v>228</v>
      </c>
      <c r="B229" s="3">
        <v>43066</v>
      </c>
      <c r="C229" s="2">
        <v>249.53</v>
      </c>
      <c r="D229" s="2">
        <v>249.86</v>
      </c>
      <c r="E229" s="2">
        <v>249.14</v>
      </c>
      <c r="F229" s="2">
        <v>249.36</v>
      </c>
      <c r="G229" s="1">
        <v>54553804</v>
      </c>
      <c r="H229" s="8">
        <f t="shared" si="6"/>
        <v>247.60299999999998</v>
      </c>
      <c r="I229" s="19">
        <f t="shared" si="7"/>
        <v>246.45700000000005</v>
      </c>
      <c r="J229" s="8">
        <f>testdata[[#This Row],[SMA(20)]]+0.025*testdata[[#This Row],[SMA(20)]]</f>
        <v>253.79307499999999</v>
      </c>
      <c r="K229" s="8">
        <f>testdata[[#This Row],[SMA(20)]]-0.025*testdata[[#This Row],[SMA(20)]]</f>
        <v>241.41292499999997</v>
      </c>
      <c r="L229" s="16">
        <f>testdata[[#This Row],[close]]-testdata[[#This Row],[SMA(TW)]]</f>
        <v>2.9029999999999632</v>
      </c>
      <c r="M229"/>
    </row>
    <row r="230" spans="1:13" x14ac:dyDescent="0.25">
      <c r="A230" s="6">
        <v>229</v>
      </c>
      <c r="B230" s="3">
        <v>43067</v>
      </c>
      <c r="C230" s="2">
        <v>249.87</v>
      </c>
      <c r="D230" s="2">
        <v>251.92</v>
      </c>
      <c r="E230" s="2">
        <v>249.77</v>
      </c>
      <c r="F230" s="2">
        <v>251.89</v>
      </c>
      <c r="G230" s="1">
        <v>103286312</v>
      </c>
      <c r="H230" s="8">
        <f t="shared" si="6"/>
        <v>247.89649999999997</v>
      </c>
      <c r="I230" s="19">
        <f t="shared" si="7"/>
        <v>246.565</v>
      </c>
      <c r="J230" s="8">
        <f>testdata[[#This Row],[SMA(20)]]+0.025*testdata[[#This Row],[SMA(20)]]</f>
        <v>254.09391249999999</v>
      </c>
      <c r="K230" s="8">
        <f>testdata[[#This Row],[SMA(20)]]-0.025*testdata[[#This Row],[SMA(20)]]</f>
        <v>241.69908749999996</v>
      </c>
      <c r="L230" s="16">
        <f>testdata[[#This Row],[close]]-testdata[[#This Row],[SMA(TW)]]</f>
        <v>5.3249999999999886</v>
      </c>
      <c r="M230"/>
    </row>
    <row r="231" spans="1:13" x14ac:dyDescent="0.25">
      <c r="A231" s="6">
        <v>230</v>
      </c>
      <c r="B231" s="3">
        <v>43068</v>
      </c>
      <c r="C231" s="2">
        <v>252.03</v>
      </c>
      <c r="D231" s="2">
        <v>252.62</v>
      </c>
      <c r="E231" s="2">
        <v>251.25</v>
      </c>
      <c r="F231" s="2">
        <v>251.74</v>
      </c>
      <c r="G231" s="1">
        <v>80891176</v>
      </c>
      <c r="H231" s="8">
        <f t="shared" si="6"/>
        <v>248.16299999999995</v>
      </c>
      <c r="I231" s="19">
        <f t="shared" si="7"/>
        <v>246.59949999999998</v>
      </c>
      <c r="J231" s="8">
        <f>testdata[[#This Row],[SMA(20)]]+0.025*testdata[[#This Row],[SMA(20)]]</f>
        <v>254.36707499999994</v>
      </c>
      <c r="K231" s="8">
        <f>testdata[[#This Row],[SMA(20)]]-0.025*testdata[[#This Row],[SMA(20)]]</f>
        <v>241.95892499999997</v>
      </c>
      <c r="L231" s="16">
        <f>testdata[[#This Row],[close]]-testdata[[#This Row],[SMA(TW)]]</f>
        <v>5.1405000000000314</v>
      </c>
      <c r="M231"/>
    </row>
    <row r="232" spans="1:13" x14ac:dyDescent="0.25">
      <c r="A232" s="6">
        <v>231</v>
      </c>
      <c r="B232" s="3">
        <v>43069</v>
      </c>
      <c r="C232" s="2">
        <v>252.74</v>
      </c>
      <c r="D232" s="2">
        <v>254.94</v>
      </c>
      <c r="E232" s="2">
        <v>252.66</v>
      </c>
      <c r="F232" s="2">
        <v>253.94</v>
      </c>
      <c r="G232" s="1">
        <v>133469840</v>
      </c>
      <c r="H232" s="8">
        <f t="shared" si="6"/>
        <v>248.52350000000001</v>
      </c>
      <c r="I232" s="19">
        <f t="shared" si="7"/>
        <v>246.73549999999994</v>
      </c>
      <c r="J232" s="8">
        <f>testdata[[#This Row],[SMA(20)]]+0.025*testdata[[#This Row],[SMA(20)]]</f>
        <v>254.73658750000001</v>
      </c>
      <c r="K232" s="8">
        <f>testdata[[#This Row],[SMA(20)]]-0.025*testdata[[#This Row],[SMA(20)]]</f>
        <v>242.31041250000001</v>
      </c>
      <c r="L232" s="16">
        <f>testdata[[#This Row],[close]]-testdata[[#This Row],[SMA(TW)]]</f>
        <v>7.2045000000000528</v>
      </c>
      <c r="M232"/>
    </row>
    <row r="233" spans="1:13" x14ac:dyDescent="0.25">
      <c r="A233" s="6">
        <v>232</v>
      </c>
      <c r="B233" s="3">
        <v>43070</v>
      </c>
      <c r="C233" s="2">
        <v>253.7</v>
      </c>
      <c r="D233" s="2">
        <v>254.23</v>
      </c>
      <c r="E233" s="2">
        <v>249.87</v>
      </c>
      <c r="F233" s="2">
        <v>253.41</v>
      </c>
      <c r="G233" s="1">
        <v>171557392</v>
      </c>
      <c r="H233" s="8">
        <f t="shared" si="6"/>
        <v>248.85250000000002</v>
      </c>
      <c r="I233" s="19">
        <f t="shared" si="7"/>
        <v>246.77149999999997</v>
      </c>
      <c r="J233" s="8">
        <f>testdata[[#This Row],[SMA(20)]]+0.025*testdata[[#This Row],[SMA(20)]]</f>
        <v>255.07381250000003</v>
      </c>
      <c r="K233" s="8">
        <f>testdata[[#This Row],[SMA(20)]]-0.025*testdata[[#This Row],[SMA(20)]]</f>
        <v>242.63118750000001</v>
      </c>
      <c r="L233" s="16">
        <f>testdata[[#This Row],[close]]-testdata[[#This Row],[SMA(TW)]]</f>
        <v>6.6385000000000218</v>
      </c>
      <c r="M233"/>
    </row>
    <row r="234" spans="1:13" x14ac:dyDescent="0.25">
      <c r="A234" s="6">
        <v>233</v>
      </c>
      <c r="B234" s="3">
        <v>43073</v>
      </c>
      <c r="C234" s="2">
        <v>255.19</v>
      </c>
      <c r="D234" s="2">
        <v>255.65</v>
      </c>
      <c r="E234" s="2">
        <v>253.05</v>
      </c>
      <c r="F234" s="2">
        <v>253.11</v>
      </c>
      <c r="G234" s="1">
        <v>98140184</v>
      </c>
      <c r="H234" s="8">
        <f t="shared" si="6"/>
        <v>249.12549999999996</v>
      </c>
      <c r="I234" s="19">
        <f t="shared" si="7"/>
        <v>246.87649999999999</v>
      </c>
      <c r="J234" s="8">
        <f>testdata[[#This Row],[SMA(20)]]+0.025*testdata[[#This Row],[SMA(20)]]</f>
        <v>255.35363749999996</v>
      </c>
      <c r="K234" s="8">
        <f>testdata[[#This Row],[SMA(20)]]-0.025*testdata[[#This Row],[SMA(20)]]</f>
        <v>242.89736249999996</v>
      </c>
      <c r="L234" s="16">
        <f>testdata[[#This Row],[close]]-testdata[[#This Row],[SMA(TW)]]</f>
        <v>6.2335000000000207</v>
      </c>
      <c r="M234"/>
    </row>
    <row r="235" spans="1:13" x14ac:dyDescent="0.25">
      <c r="A235" s="6">
        <v>234</v>
      </c>
      <c r="B235" s="3">
        <v>43074</v>
      </c>
      <c r="C235" s="2">
        <v>253.38</v>
      </c>
      <c r="D235" s="2">
        <v>254.07</v>
      </c>
      <c r="E235" s="2">
        <v>252.05</v>
      </c>
      <c r="F235" s="2">
        <v>252.2</v>
      </c>
      <c r="G235" s="1">
        <v>81394656</v>
      </c>
      <c r="H235" s="8">
        <f t="shared" si="6"/>
        <v>249.33349999999996</v>
      </c>
      <c r="I235" s="19">
        <f t="shared" si="7"/>
        <v>247.04100000000003</v>
      </c>
      <c r="J235" s="8">
        <f>testdata[[#This Row],[SMA(20)]]+0.025*testdata[[#This Row],[SMA(20)]]</f>
        <v>255.56683749999996</v>
      </c>
      <c r="K235" s="8">
        <f>testdata[[#This Row],[SMA(20)]]-0.025*testdata[[#This Row],[SMA(20)]]</f>
        <v>243.10016249999995</v>
      </c>
      <c r="L235" s="16">
        <f>testdata[[#This Row],[close]]-testdata[[#This Row],[SMA(TW)]]</f>
        <v>5.1589999999999634</v>
      </c>
      <c r="M235"/>
    </row>
    <row r="236" spans="1:13" x14ac:dyDescent="0.25">
      <c r="A236" s="6">
        <v>235</v>
      </c>
      <c r="B236" s="3">
        <v>43075</v>
      </c>
      <c r="C236" s="2">
        <v>251.89</v>
      </c>
      <c r="D236" s="2">
        <v>252.71</v>
      </c>
      <c r="E236" s="2">
        <v>251.74</v>
      </c>
      <c r="F236" s="2">
        <v>252.24</v>
      </c>
      <c r="G236" s="1">
        <v>79207304</v>
      </c>
      <c r="H236" s="8">
        <f t="shared" si="6"/>
        <v>249.55249999999995</v>
      </c>
      <c r="I236" s="19">
        <f t="shared" si="7"/>
        <v>247.25500000000002</v>
      </c>
      <c r="J236" s="8">
        <f>testdata[[#This Row],[SMA(20)]]+0.025*testdata[[#This Row],[SMA(20)]]</f>
        <v>255.79131249999995</v>
      </c>
      <c r="K236" s="8">
        <f>testdata[[#This Row],[SMA(20)]]-0.025*testdata[[#This Row],[SMA(20)]]</f>
        <v>243.31368749999996</v>
      </c>
      <c r="L236" s="16">
        <f>testdata[[#This Row],[close]]-testdata[[#This Row],[SMA(TW)]]</f>
        <v>4.9849999999999852</v>
      </c>
      <c r="M236"/>
    </row>
    <row r="237" spans="1:13" x14ac:dyDescent="0.25">
      <c r="A237" s="6">
        <v>236</v>
      </c>
      <c r="B237" s="3">
        <v>43076</v>
      </c>
      <c r="C237" s="2">
        <v>252.1</v>
      </c>
      <c r="D237" s="2">
        <v>253.38</v>
      </c>
      <c r="E237" s="2">
        <v>251.96</v>
      </c>
      <c r="F237" s="2">
        <v>253.04</v>
      </c>
      <c r="G237" s="1">
        <v>80584848</v>
      </c>
      <c r="H237" s="8">
        <f t="shared" si="6"/>
        <v>249.78999999999996</v>
      </c>
      <c r="I237" s="19">
        <f t="shared" si="7"/>
        <v>247.48199999999997</v>
      </c>
      <c r="J237" s="8">
        <f>testdata[[#This Row],[SMA(20)]]+0.025*testdata[[#This Row],[SMA(20)]]</f>
        <v>256.03474999999997</v>
      </c>
      <c r="K237" s="8">
        <f>testdata[[#This Row],[SMA(20)]]-0.025*testdata[[#This Row],[SMA(20)]]</f>
        <v>243.54524999999995</v>
      </c>
      <c r="L237" s="16">
        <f>testdata[[#This Row],[close]]-testdata[[#This Row],[SMA(TW)]]</f>
        <v>5.5580000000000211</v>
      </c>
      <c r="M237"/>
    </row>
    <row r="238" spans="1:13" x14ac:dyDescent="0.25">
      <c r="A238" s="6">
        <v>237</v>
      </c>
      <c r="B238" s="3">
        <v>43077</v>
      </c>
      <c r="C238" s="2">
        <v>253.92</v>
      </c>
      <c r="D238" s="2">
        <v>254.43</v>
      </c>
      <c r="E238" s="2">
        <v>253</v>
      </c>
      <c r="F238" s="2">
        <v>254.42</v>
      </c>
      <c r="G238" s="1">
        <v>79901608</v>
      </c>
      <c r="H238" s="8">
        <f t="shared" si="6"/>
        <v>250.14150000000001</v>
      </c>
      <c r="I238" s="19">
        <f t="shared" si="7"/>
        <v>247.60299999999998</v>
      </c>
      <c r="J238" s="8">
        <f>testdata[[#This Row],[SMA(20)]]+0.025*testdata[[#This Row],[SMA(20)]]</f>
        <v>256.3950375</v>
      </c>
      <c r="K238" s="8">
        <f>testdata[[#This Row],[SMA(20)]]-0.025*testdata[[#This Row],[SMA(20)]]</f>
        <v>243.88796250000001</v>
      </c>
      <c r="L238" s="16">
        <f>testdata[[#This Row],[close]]-testdata[[#This Row],[SMA(TW)]]</f>
        <v>6.8170000000000073</v>
      </c>
      <c r="M238"/>
    </row>
    <row r="239" spans="1:13" x14ac:dyDescent="0.25">
      <c r="A239" s="6">
        <v>238</v>
      </c>
      <c r="B239" s="3">
        <v>43080</v>
      </c>
      <c r="C239" s="2">
        <v>254.49</v>
      </c>
      <c r="D239" s="2">
        <v>255.25</v>
      </c>
      <c r="E239" s="2">
        <v>254.39</v>
      </c>
      <c r="F239" s="2">
        <v>255.19</v>
      </c>
      <c r="G239" s="1">
        <v>86699232</v>
      </c>
      <c r="H239" s="8">
        <f t="shared" si="6"/>
        <v>250.53549999999996</v>
      </c>
      <c r="I239" s="19">
        <f t="shared" si="7"/>
        <v>247.89649999999997</v>
      </c>
      <c r="J239" s="8">
        <f>testdata[[#This Row],[SMA(20)]]+0.025*testdata[[#This Row],[SMA(20)]]</f>
        <v>256.79888749999998</v>
      </c>
      <c r="K239" s="8">
        <f>testdata[[#This Row],[SMA(20)]]-0.025*testdata[[#This Row],[SMA(20)]]</f>
        <v>244.27211249999996</v>
      </c>
      <c r="L239" s="16">
        <f>testdata[[#This Row],[close]]-testdata[[#This Row],[SMA(TW)]]</f>
        <v>7.293500000000023</v>
      </c>
      <c r="M239"/>
    </row>
    <row r="240" spans="1:13" x14ac:dyDescent="0.25">
      <c r="A240" s="6">
        <v>239</v>
      </c>
      <c r="B240" s="3">
        <v>43081</v>
      </c>
      <c r="C240" s="2">
        <v>255.43</v>
      </c>
      <c r="D240" s="2">
        <v>256.14999999999998</v>
      </c>
      <c r="E240" s="2">
        <v>255.22</v>
      </c>
      <c r="F240" s="2">
        <v>255.64</v>
      </c>
      <c r="G240" s="1">
        <v>88909792</v>
      </c>
      <c r="H240" s="8">
        <f t="shared" si="6"/>
        <v>250.94049999999999</v>
      </c>
      <c r="I240" s="19">
        <f t="shared" si="7"/>
        <v>248.16299999999995</v>
      </c>
      <c r="J240" s="8">
        <f>testdata[[#This Row],[SMA(20)]]+0.025*testdata[[#This Row],[SMA(20)]]</f>
        <v>257.21401249999997</v>
      </c>
      <c r="K240" s="8">
        <f>testdata[[#This Row],[SMA(20)]]-0.025*testdata[[#This Row],[SMA(20)]]</f>
        <v>244.66698749999998</v>
      </c>
      <c r="L240" s="16">
        <f>testdata[[#This Row],[close]]-testdata[[#This Row],[SMA(TW)]]</f>
        <v>7.4770000000000323</v>
      </c>
      <c r="M240"/>
    </row>
    <row r="241" spans="1:13" x14ac:dyDescent="0.25">
      <c r="A241" s="6">
        <v>240</v>
      </c>
      <c r="B241" s="3">
        <v>43082</v>
      </c>
      <c r="C241" s="2">
        <v>255.9</v>
      </c>
      <c r="D241" s="2">
        <v>256.38</v>
      </c>
      <c r="E241" s="2">
        <v>255.51</v>
      </c>
      <c r="F241" s="2">
        <v>255.61</v>
      </c>
      <c r="G241" s="1">
        <v>107391488</v>
      </c>
      <c r="H241" s="8">
        <f t="shared" si="6"/>
        <v>251.37299999999996</v>
      </c>
      <c r="I241" s="19">
        <f t="shared" si="7"/>
        <v>248.52350000000001</v>
      </c>
      <c r="J241" s="8">
        <f>testdata[[#This Row],[SMA(20)]]+0.025*testdata[[#This Row],[SMA(20)]]</f>
        <v>257.65732499999996</v>
      </c>
      <c r="K241" s="8">
        <f>testdata[[#This Row],[SMA(20)]]-0.025*testdata[[#This Row],[SMA(20)]]</f>
        <v>245.08867499999997</v>
      </c>
      <c r="L241" s="16">
        <f>testdata[[#This Row],[close]]-testdata[[#This Row],[SMA(TW)]]</f>
        <v>7.0865000000000009</v>
      </c>
      <c r="M241"/>
    </row>
    <row r="242" spans="1:13" x14ac:dyDescent="0.25">
      <c r="A242" s="6">
        <v>241</v>
      </c>
      <c r="B242" s="3">
        <v>43083</v>
      </c>
      <c r="C242" s="2">
        <v>255.93</v>
      </c>
      <c r="D242" s="2">
        <v>256.06</v>
      </c>
      <c r="E242" s="2">
        <v>254.51</v>
      </c>
      <c r="F242" s="2">
        <v>254.56</v>
      </c>
      <c r="G242" s="1">
        <v>105055176</v>
      </c>
      <c r="H242" s="8">
        <f t="shared" si="6"/>
        <v>251.81450000000001</v>
      </c>
      <c r="I242" s="19">
        <f t="shared" si="7"/>
        <v>248.85250000000002</v>
      </c>
      <c r="J242" s="8">
        <f>testdata[[#This Row],[SMA(20)]]+0.025*testdata[[#This Row],[SMA(20)]]</f>
        <v>258.10986250000002</v>
      </c>
      <c r="K242" s="8">
        <f>testdata[[#This Row],[SMA(20)]]-0.025*testdata[[#This Row],[SMA(20)]]</f>
        <v>245.5191375</v>
      </c>
      <c r="L242" s="16">
        <f>testdata[[#This Row],[close]]-testdata[[#This Row],[SMA(TW)]]</f>
        <v>5.7074999999999818</v>
      </c>
      <c r="M242"/>
    </row>
    <row r="243" spans="1:13" x14ac:dyDescent="0.25">
      <c r="A243" s="6">
        <v>242</v>
      </c>
      <c r="B243" s="3">
        <v>43084</v>
      </c>
      <c r="C243" s="2">
        <v>255.66</v>
      </c>
      <c r="D243" s="2">
        <v>257.19</v>
      </c>
      <c r="E243" s="2">
        <v>255.6</v>
      </c>
      <c r="F243" s="2">
        <v>256.68</v>
      </c>
      <c r="G243" s="1">
        <v>150146832</v>
      </c>
      <c r="H243" s="8">
        <f t="shared" si="6"/>
        <v>252.25749999999999</v>
      </c>
      <c r="I243" s="19">
        <f t="shared" si="7"/>
        <v>249.12549999999996</v>
      </c>
      <c r="J243" s="8">
        <f>testdata[[#This Row],[SMA(20)]]+0.025*testdata[[#This Row],[SMA(20)]]</f>
        <v>258.56393750000001</v>
      </c>
      <c r="K243" s="8">
        <f>testdata[[#This Row],[SMA(20)]]-0.025*testdata[[#This Row],[SMA(20)]]</f>
        <v>245.95106250000001</v>
      </c>
      <c r="L243" s="16">
        <f>testdata[[#This Row],[close]]-testdata[[#This Row],[SMA(TW)]]</f>
        <v>7.5545000000000471</v>
      </c>
      <c r="M243"/>
    </row>
    <row r="244" spans="1:13" x14ac:dyDescent="0.25">
      <c r="A244" s="6">
        <v>243</v>
      </c>
      <c r="B244" s="3">
        <v>43087</v>
      </c>
      <c r="C244" s="2">
        <v>258.20999999999998</v>
      </c>
      <c r="D244" s="2">
        <v>258.7</v>
      </c>
      <c r="E244" s="2">
        <v>258.10000000000002</v>
      </c>
      <c r="F244" s="2">
        <v>258.31</v>
      </c>
      <c r="G244" s="1">
        <v>86856320</v>
      </c>
      <c r="H244" s="8">
        <f t="shared" si="6"/>
        <v>252.81850000000003</v>
      </c>
      <c r="I244" s="19">
        <f t="shared" si="7"/>
        <v>249.33349999999996</v>
      </c>
      <c r="J244" s="8">
        <f>testdata[[#This Row],[SMA(20)]]+0.025*testdata[[#This Row],[SMA(20)]]</f>
        <v>259.13896250000005</v>
      </c>
      <c r="K244" s="8">
        <f>testdata[[#This Row],[SMA(20)]]-0.025*testdata[[#This Row],[SMA(20)]]</f>
        <v>246.49803750000004</v>
      </c>
      <c r="L244" s="16">
        <f>testdata[[#This Row],[close]]-testdata[[#This Row],[SMA(TW)]]</f>
        <v>8.9765000000000441</v>
      </c>
      <c r="M244"/>
    </row>
    <row r="245" spans="1:13" x14ac:dyDescent="0.25">
      <c r="A245" s="6">
        <v>244</v>
      </c>
      <c r="B245" s="3">
        <v>43088</v>
      </c>
      <c r="C245" s="2">
        <v>258.58</v>
      </c>
      <c r="D245" s="2">
        <v>258.63</v>
      </c>
      <c r="E245" s="2">
        <v>257.24</v>
      </c>
      <c r="F245" s="2">
        <v>257.32</v>
      </c>
      <c r="G245" s="1">
        <v>85536976</v>
      </c>
      <c r="H245" s="8">
        <f t="shared" si="6"/>
        <v>253.30900000000003</v>
      </c>
      <c r="I245" s="19">
        <f t="shared" si="7"/>
        <v>249.55249999999995</v>
      </c>
      <c r="J245" s="8">
        <f>testdata[[#This Row],[SMA(20)]]+0.025*testdata[[#This Row],[SMA(20)]]</f>
        <v>259.64172500000001</v>
      </c>
      <c r="K245" s="8">
        <f>testdata[[#This Row],[SMA(20)]]-0.025*testdata[[#This Row],[SMA(20)]]</f>
        <v>246.97627500000002</v>
      </c>
      <c r="L245" s="16">
        <f>testdata[[#This Row],[close]]-testdata[[#This Row],[SMA(TW)]]</f>
        <v>7.7675000000000409</v>
      </c>
      <c r="M245"/>
    </row>
    <row r="246" spans="1:13" x14ac:dyDescent="0.25">
      <c r="A246" s="6">
        <v>245</v>
      </c>
      <c r="B246" s="3">
        <v>43089</v>
      </c>
      <c r="C246" s="2">
        <v>258.38</v>
      </c>
      <c r="D246" s="2">
        <v>258.44</v>
      </c>
      <c r="E246" s="2">
        <v>256.86</v>
      </c>
      <c r="F246" s="2">
        <v>257.18</v>
      </c>
      <c r="G246" s="1">
        <v>79690000</v>
      </c>
      <c r="H246" s="8">
        <f t="shared" si="6"/>
        <v>253.71150000000003</v>
      </c>
      <c r="I246" s="19">
        <f t="shared" si="7"/>
        <v>249.78999999999996</v>
      </c>
      <c r="J246" s="8">
        <f>testdata[[#This Row],[SMA(20)]]+0.025*testdata[[#This Row],[SMA(20)]]</f>
        <v>260.05428750000004</v>
      </c>
      <c r="K246" s="8">
        <f>testdata[[#This Row],[SMA(20)]]-0.025*testdata[[#This Row],[SMA(20)]]</f>
        <v>247.36871250000002</v>
      </c>
      <c r="L246" s="16">
        <f>testdata[[#This Row],[close]]-testdata[[#This Row],[SMA(TW)]]</f>
        <v>7.3900000000000432</v>
      </c>
      <c r="M246"/>
    </row>
    <row r="247" spans="1:13" x14ac:dyDescent="0.25">
      <c r="A247" s="6">
        <v>246</v>
      </c>
      <c r="B247" s="3">
        <v>43090</v>
      </c>
      <c r="C247" s="2">
        <v>257.87</v>
      </c>
      <c r="D247" s="2">
        <v>258.49</v>
      </c>
      <c r="E247" s="2">
        <v>257.44</v>
      </c>
      <c r="F247" s="2">
        <v>257.70999999999998</v>
      </c>
      <c r="G247" s="1">
        <v>69598728</v>
      </c>
      <c r="H247" s="8">
        <f t="shared" si="6"/>
        <v>254.15150000000003</v>
      </c>
      <c r="I247" s="19">
        <f t="shared" si="7"/>
        <v>250.14150000000001</v>
      </c>
      <c r="J247" s="8">
        <f>testdata[[#This Row],[SMA(20)]]+0.025*testdata[[#This Row],[SMA(20)]]</f>
        <v>260.50528750000001</v>
      </c>
      <c r="K247" s="8">
        <f>testdata[[#This Row],[SMA(20)]]-0.025*testdata[[#This Row],[SMA(20)]]</f>
        <v>247.79771250000002</v>
      </c>
      <c r="L247" s="16">
        <f>testdata[[#This Row],[close]]-testdata[[#This Row],[SMA(TW)]]</f>
        <v>7.5684999999999718</v>
      </c>
      <c r="M247"/>
    </row>
    <row r="248" spans="1:13" x14ac:dyDescent="0.25">
      <c r="A248" s="6">
        <v>247</v>
      </c>
      <c r="B248" s="3">
        <v>43091</v>
      </c>
      <c r="C248" s="2">
        <v>257.73</v>
      </c>
      <c r="D248" s="2">
        <v>257.77</v>
      </c>
      <c r="E248" s="2">
        <v>257.06</v>
      </c>
      <c r="F248" s="2">
        <v>257.64999999999998</v>
      </c>
      <c r="G248" s="1">
        <v>81734768</v>
      </c>
      <c r="H248" s="8">
        <f t="shared" si="6"/>
        <v>254.56</v>
      </c>
      <c r="I248" s="19">
        <f t="shared" si="7"/>
        <v>250.53549999999996</v>
      </c>
      <c r="J248" s="8">
        <f>testdata[[#This Row],[SMA(20)]]+0.025*testdata[[#This Row],[SMA(20)]]</f>
        <v>260.92399999999998</v>
      </c>
      <c r="K248" s="8">
        <f>testdata[[#This Row],[SMA(20)]]-0.025*testdata[[#This Row],[SMA(20)]]</f>
        <v>248.196</v>
      </c>
      <c r="L248" s="16">
        <f>testdata[[#This Row],[close]]-testdata[[#This Row],[SMA(TW)]]</f>
        <v>7.1145000000000209</v>
      </c>
      <c r="M248"/>
    </row>
    <row r="249" spans="1:13" x14ac:dyDescent="0.25">
      <c r="A249" s="6">
        <v>248</v>
      </c>
      <c r="B249" s="3">
        <v>43095</v>
      </c>
      <c r="C249" s="2">
        <v>257.2</v>
      </c>
      <c r="D249" s="2">
        <v>257.58</v>
      </c>
      <c r="E249" s="2">
        <v>257.04000000000002</v>
      </c>
      <c r="F249" s="2">
        <v>257.33999999999997</v>
      </c>
      <c r="G249" s="1">
        <v>46976656</v>
      </c>
      <c r="H249" s="8">
        <f t="shared" si="6"/>
        <v>254.95899999999997</v>
      </c>
      <c r="I249" s="19">
        <f t="shared" si="7"/>
        <v>250.94049999999999</v>
      </c>
      <c r="J249" s="8">
        <f>testdata[[#This Row],[SMA(20)]]+0.025*testdata[[#This Row],[SMA(20)]]</f>
        <v>261.33297499999998</v>
      </c>
      <c r="K249" s="8">
        <f>testdata[[#This Row],[SMA(20)]]-0.025*testdata[[#This Row],[SMA(20)]]</f>
        <v>248.58502499999997</v>
      </c>
      <c r="L249" s="16">
        <f>testdata[[#This Row],[close]]-testdata[[#This Row],[SMA(TW)]]</f>
        <v>6.3994999999999891</v>
      </c>
      <c r="M249"/>
    </row>
    <row r="250" spans="1:13" x14ac:dyDescent="0.25">
      <c r="A250" s="6">
        <v>249</v>
      </c>
      <c r="B250" s="3">
        <v>43096</v>
      </c>
      <c r="C250" s="2">
        <v>257.52</v>
      </c>
      <c r="D250" s="2">
        <v>257.86</v>
      </c>
      <c r="E250" s="2">
        <v>257.16000000000003</v>
      </c>
      <c r="F250" s="2">
        <v>257.45999999999998</v>
      </c>
      <c r="G250" s="1">
        <v>59962032</v>
      </c>
      <c r="H250" s="8">
        <f t="shared" si="6"/>
        <v>255.23749999999995</v>
      </c>
      <c r="I250" s="19">
        <f t="shared" si="7"/>
        <v>251.37299999999996</v>
      </c>
      <c r="J250" s="8">
        <f>testdata[[#This Row],[SMA(20)]]+0.025*testdata[[#This Row],[SMA(20)]]</f>
        <v>261.61843749999997</v>
      </c>
      <c r="K250" s="8">
        <f>testdata[[#This Row],[SMA(20)]]-0.025*testdata[[#This Row],[SMA(20)]]</f>
        <v>248.85656249999997</v>
      </c>
      <c r="L250" s="16">
        <f>testdata[[#This Row],[close]]-testdata[[#This Row],[SMA(TW)]]</f>
        <v>6.0870000000000175</v>
      </c>
      <c r="M250"/>
    </row>
    <row r="251" spans="1:13" x14ac:dyDescent="0.25">
      <c r="A251" s="6">
        <v>250</v>
      </c>
      <c r="B251" s="3">
        <v>43097</v>
      </c>
      <c r="C251" s="2">
        <v>258.01</v>
      </c>
      <c r="D251" s="2">
        <v>258.04000000000002</v>
      </c>
      <c r="E251" s="2">
        <v>257.58999999999997</v>
      </c>
      <c r="F251" s="2">
        <v>257.99</v>
      </c>
      <c r="G251" s="1">
        <v>46843448</v>
      </c>
      <c r="H251" s="8">
        <f t="shared" si="6"/>
        <v>255.55</v>
      </c>
      <c r="I251" s="19">
        <f t="shared" si="7"/>
        <v>251.81450000000001</v>
      </c>
      <c r="J251" s="9">
        <f>testdata[[#This Row],[SMA(20)]]+0.025*testdata[[#This Row],[SMA(20)]]</f>
        <v>261.93875000000003</v>
      </c>
      <c r="K251" s="11">
        <f>testdata[[#This Row],[SMA(20)]]-0.025*testdata[[#This Row],[SMA(20)]]</f>
        <v>249.16125000000002</v>
      </c>
      <c r="L251" s="16">
        <f>testdata[[#This Row],[close]]-testdata[[#This Row],[SMA(TW)]]</f>
        <v>6.1754999999999995</v>
      </c>
      <c r="M251"/>
    </row>
    <row r="252" spans="1:13" x14ac:dyDescent="0.25">
      <c r="A252" s="6">
        <v>251</v>
      </c>
      <c r="B252" s="3">
        <v>43098</v>
      </c>
      <c r="C252" s="2">
        <v>258.63</v>
      </c>
      <c r="D252" s="2">
        <v>258.64999999999998</v>
      </c>
      <c r="E252" s="2">
        <v>256.81</v>
      </c>
      <c r="F252" s="2">
        <v>257.02</v>
      </c>
      <c r="G252" s="1">
        <v>99683152</v>
      </c>
      <c r="H252" s="8">
        <f t="shared" si="6"/>
        <v>255.70400000000001</v>
      </c>
      <c r="I252" s="19">
        <f t="shared" si="7"/>
        <v>252.25749999999999</v>
      </c>
      <c r="J252" s="8">
        <f>testdata[[#This Row],[SMA(20)]]+0.025*testdata[[#This Row],[SMA(20)]]</f>
        <v>262.09660000000002</v>
      </c>
      <c r="K252" s="8">
        <f>testdata[[#This Row],[SMA(20)]]-0.025*testdata[[#This Row],[SMA(20)]]</f>
        <v>249.31140000000002</v>
      </c>
      <c r="L252" s="16">
        <f>testdata[[#This Row],[close]]-testdata[[#This Row],[SMA(TW)]]</f>
        <v>4.7624999999999886</v>
      </c>
      <c r="M252"/>
    </row>
    <row r="253" spans="1:13" x14ac:dyDescent="0.25">
      <c r="A253" s="6">
        <v>252</v>
      </c>
      <c r="B253" s="3">
        <v>43102</v>
      </c>
      <c r="C253" s="2">
        <v>257.95999999999998</v>
      </c>
      <c r="D253" s="2">
        <v>258.89999999999998</v>
      </c>
      <c r="E253" s="2">
        <v>257.54000000000002</v>
      </c>
      <c r="F253" s="2">
        <v>258.86</v>
      </c>
      <c r="G253" s="1">
        <v>89973440</v>
      </c>
      <c r="H253" s="8">
        <f t="shared" si="6"/>
        <v>255.97649999999999</v>
      </c>
      <c r="I253" s="19">
        <f t="shared" si="7"/>
        <v>252.81850000000003</v>
      </c>
      <c r="J253" s="8">
        <f>testdata[[#This Row],[SMA(20)]]+0.025*testdata[[#This Row],[SMA(20)]]</f>
        <v>262.37591249999997</v>
      </c>
      <c r="K253" s="8">
        <f>testdata[[#This Row],[SMA(20)]]-0.025*testdata[[#This Row],[SMA(20)]]</f>
        <v>249.57708749999998</v>
      </c>
      <c r="L253" s="16">
        <f>testdata[[#This Row],[close]]-testdata[[#This Row],[SMA(TW)]]</f>
        <v>6.041499999999985</v>
      </c>
      <c r="M253"/>
    </row>
    <row r="254" spans="1:13" x14ac:dyDescent="0.25">
      <c r="A254" s="6">
        <v>253</v>
      </c>
      <c r="B254" s="3">
        <v>43103</v>
      </c>
      <c r="C254" s="2">
        <v>259.04000000000002</v>
      </c>
      <c r="D254" s="2">
        <v>260.66000000000003</v>
      </c>
      <c r="E254" s="2">
        <v>259.04000000000002</v>
      </c>
      <c r="F254" s="2">
        <v>260.5</v>
      </c>
      <c r="G254" s="1">
        <v>93518840</v>
      </c>
      <c r="H254" s="8">
        <f t="shared" si="6"/>
        <v>256.34599999999995</v>
      </c>
      <c r="I254" s="19">
        <f t="shared" si="7"/>
        <v>253.30900000000003</v>
      </c>
      <c r="J254" s="8">
        <f>testdata[[#This Row],[SMA(20)]]+0.025*testdata[[#This Row],[SMA(20)]]</f>
        <v>262.75464999999997</v>
      </c>
      <c r="K254" s="8">
        <f>testdata[[#This Row],[SMA(20)]]-0.025*testdata[[#This Row],[SMA(20)]]</f>
        <v>249.93734999999995</v>
      </c>
      <c r="L254" s="16">
        <f>testdata[[#This Row],[close]]-testdata[[#This Row],[SMA(TW)]]</f>
        <v>7.1909999999999741</v>
      </c>
      <c r="M254"/>
    </row>
    <row r="255" spans="1:13" x14ac:dyDescent="0.25">
      <c r="A255" s="6">
        <v>254</v>
      </c>
      <c r="B255" s="3">
        <v>43104</v>
      </c>
      <c r="C255" s="2">
        <v>261.2</v>
      </c>
      <c r="D255" s="2">
        <v>262.12</v>
      </c>
      <c r="E255" s="2">
        <v>260.57</v>
      </c>
      <c r="F255" s="2">
        <v>261.58999999999997</v>
      </c>
      <c r="G255" s="1">
        <v>83723648</v>
      </c>
      <c r="H255" s="8">
        <f t="shared" si="6"/>
        <v>256.81550000000004</v>
      </c>
      <c r="I255" s="19">
        <f t="shared" si="7"/>
        <v>253.71150000000003</v>
      </c>
      <c r="J255" s="8">
        <f>testdata[[#This Row],[SMA(20)]]+0.025*testdata[[#This Row],[SMA(20)]]</f>
        <v>263.23588750000005</v>
      </c>
      <c r="K255" s="8">
        <f>testdata[[#This Row],[SMA(20)]]-0.025*testdata[[#This Row],[SMA(20)]]</f>
        <v>250.39511250000004</v>
      </c>
      <c r="L255" s="16">
        <f>testdata[[#This Row],[close]]-testdata[[#This Row],[SMA(TW)]]</f>
        <v>7.8784999999999457</v>
      </c>
      <c r="M255"/>
    </row>
    <row r="256" spans="1:13" x14ac:dyDescent="0.25">
      <c r="A256" s="6">
        <v>255</v>
      </c>
      <c r="B256" s="3">
        <v>43105</v>
      </c>
      <c r="C256" s="2">
        <v>262.45999999999998</v>
      </c>
      <c r="D256" s="2">
        <v>263.47000000000003</v>
      </c>
      <c r="E256" s="2">
        <v>261.92</v>
      </c>
      <c r="F256" s="2">
        <v>263.33999999999997</v>
      </c>
      <c r="G256" s="1">
        <v>86721784</v>
      </c>
      <c r="H256" s="8">
        <f t="shared" si="6"/>
        <v>257.37050000000005</v>
      </c>
      <c r="I256" s="19">
        <f t="shared" si="7"/>
        <v>254.15150000000003</v>
      </c>
      <c r="J256" s="8">
        <f>testdata[[#This Row],[SMA(20)]]+0.025*testdata[[#This Row],[SMA(20)]]</f>
        <v>263.80476250000004</v>
      </c>
      <c r="K256" s="8">
        <f>testdata[[#This Row],[SMA(20)]]-0.025*testdata[[#This Row],[SMA(20)]]</f>
        <v>250.93623750000006</v>
      </c>
      <c r="L256" s="16">
        <f>testdata[[#This Row],[close]]-testdata[[#This Row],[SMA(TW)]]</f>
        <v>9.1884999999999479</v>
      </c>
      <c r="M256"/>
    </row>
    <row r="257" spans="1:13" x14ac:dyDescent="0.25">
      <c r="A257" s="6">
        <v>256</v>
      </c>
      <c r="B257" s="3">
        <v>43108</v>
      </c>
      <c r="C257" s="2">
        <v>263.23</v>
      </c>
      <c r="D257" s="2">
        <v>263.99</v>
      </c>
      <c r="E257" s="2">
        <v>262.91000000000003</v>
      </c>
      <c r="F257" s="2">
        <v>263.82</v>
      </c>
      <c r="G257" s="1">
        <v>59513708</v>
      </c>
      <c r="H257" s="8">
        <f t="shared" si="6"/>
        <v>257.90950000000004</v>
      </c>
      <c r="I257" s="19">
        <f t="shared" si="7"/>
        <v>254.56</v>
      </c>
      <c r="J257" s="8">
        <f>testdata[[#This Row],[SMA(20)]]+0.025*testdata[[#This Row],[SMA(20)]]</f>
        <v>264.35723750000005</v>
      </c>
      <c r="K257" s="8">
        <f>testdata[[#This Row],[SMA(20)]]-0.025*testdata[[#This Row],[SMA(20)]]</f>
        <v>251.46176250000005</v>
      </c>
      <c r="L257" s="16">
        <f>testdata[[#This Row],[close]]-testdata[[#This Row],[SMA(TW)]]</f>
        <v>9.2599999999999909</v>
      </c>
      <c r="M257"/>
    </row>
    <row r="258" spans="1:13" x14ac:dyDescent="0.25">
      <c r="A258" s="6">
        <v>257</v>
      </c>
      <c r="B258" s="3">
        <v>43109</v>
      </c>
      <c r="C258" s="2">
        <v>264.27999999999997</v>
      </c>
      <c r="D258" s="2">
        <v>265.10000000000002</v>
      </c>
      <c r="E258" s="2">
        <v>263.97000000000003</v>
      </c>
      <c r="F258" s="2">
        <v>264.42</v>
      </c>
      <c r="G258" s="1">
        <v>59445976</v>
      </c>
      <c r="H258" s="8">
        <f t="shared" si="6"/>
        <v>258.40950000000004</v>
      </c>
      <c r="I258" s="19">
        <f t="shared" si="7"/>
        <v>254.95899999999997</v>
      </c>
      <c r="J258" s="8">
        <f>testdata[[#This Row],[SMA(20)]]+0.025*testdata[[#This Row],[SMA(20)]]</f>
        <v>264.86973750000004</v>
      </c>
      <c r="K258" s="8">
        <f>testdata[[#This Row],[SMA(20)]]-0.025*testdata[[#This Row],[SMA(20)]]</f>
        <v>251.94926250000003</v>
      </c>
      <c r="L258" s="16">
        <f>testdata[[#This Row],[close]]-testdata[[#This Row],[SMA(TW)]]</f>
        <v>9.4610000000000412</v>
      </c>
      <c r="M258"/>
    </row>
    <row r="259" spans="1:13" x14ac:dyDescent="0.25">
      <c r="A259" s="6">
        <v>258</v>
      </c>
      <c r="B259" s="3">
        <v>43110</v>
      </c>
      <c r="C259" s="2">
        <v>263.58999999999997</v>
      </c>
      <c r="D259" s="2">
        <v>264.3</v>
      </c>
      <c r="E259" s="2">
        <v>262.86</v>
      </c>
      <c r="F259" s="2">
        <v>264.01</v>
      </c>
      <c r="G259" s="1">
        <v>72238032</v>
      </c>
      <c r="H259" s="8">
        <f t="shared" si="6"/>
        <v>258.85050000000001</v>
      </c>
      <c r="I259" s="19">
        <f t="shared" si="7"/>
        <v>255.23749999999995</v>
      </c>
      <c r="J259" s="8">
        <f>testdata[[#This Row],[SMA(20)]]+0.025*testdata[[#This Row],[SMA(20)]]</f>
        <v>265.32176250000003</v>
      </c>
      <c r="K259" s="8">
        <f>testdata[[#This Row],[SMA(20)]]-0.025*testdata[[#This Row],[SMA(20)]]</f>
        <v>252.37923750000002</v>
      </c>
      <c r="L259" s="16">
        <f>testdata[[#This Row],[close]]-testdata[[#This Row],[SMA(TW)]]</f>
        <v>8.7725000000000364</v>
      </c>
      <c r="M259"/>
    </row>
    <row r="260" spans="1:13" x14ac:dyDescent="0.25">
      <c r="A260" s="6">
        <v>259</v>
      </c>
      <c r="B260" s="3">
        <v>43111</v>
      </c>
      <c r="C260" s="2">
        <v>264.62</v>
      </c>
      <c r="D260" s="2">
        <v>265.94</v>
      </c>
      <c r="E260" s="2">
        <v>264.44</v>
      </c>
      <c r="F260" s="2">
        <v>265.94</v>
      </c>
      <c r="G260" s="1">
        <v>64749016</v>
      </c>
      <c r="H260" s="8">
        <f t="shared" si="6"/>
        <v>259.3655</v>
      </c>
      <c r="I260" s="19">
        <f t="shared" si="7"/>
        <v>255.55</v>
      </c>
      <c r="J260" s="8">
        <f>testdata[[#This Row],[SMA(20)]]+0.025*testdata[[#This Row],[SMA(20)]]</f>
        <v>265.84963749999997</v>
      </c>
      <c r="K260" s="8">
        <f>testdata[[#This Row],[SMA(20)]]-0.025*testdata[[#This Row],[SMA(20)]]</f>
        <v>252.88136249999999</v>
      </c>
      <c r="L260" s="16">
        <f>testdata[[#This Row],[close]]-testdata[[#This Row],[SMA(TW)]]</f>
        <v>10.389999999999986</v>
      </c>
      <c r="M260"/>
    </row>
    <row r="261" spans="1:13" x14ac:dyDescent="0.25">
      <c r="A261" s="6">
        <v>260</v>
      </c>
      <c r="B261" s="3">
        <v>43112</v>
      </c>
      <c r="C261" s="2">
        <v>266.23</v>
      </c>
      <c r="D261" s="2">
        <v>267.86</v>
      </c>
      <c r="E261" s="2">
        <v>265.89999999999998</v>
      </c>
      <c r="F261" s="2">
        <v>267.67</v>
      </c>
      <c r="G261" s="1">
        <v>94293048</v>
      </c>
      <c r="H261" s="8">
        <f t="shared" si="6"/>
        <v>259.96850000000001</v>
      </c>
      <c r="I261" s="19">
        <f t="shared" si="7"/>
        <v>255.70400000000001</v>
      </c>
      <c r="J261" s="8">
        <f>testdata[[#This Row],[SMA(20)]]+0.025*testdata[[#This Row],[SMA(20)]]</f>
        <v>266.4677125</v>
      </c>
      <c r="K261" s="8">
        <f>testdata[[#This Row],[SMA(20)]]-0.025*testdata[[#This Row],[SMA(20)]]</f>
        <v>253.46928750000001</v>
      </c>
      <c r="L261" s="16">
        <f>testdata[[#This Row],[close]]-testdata[[#This Row],[SMA(TW)]]</f>
        <v>11.966000000000008</v>
      </c>
      <c r="M261"/>
    </row>
    <row r="262" spans="1:13" x14ac:dyDescent="0.25">
      <c r="A262" s="6">
        <v>261</v>
      </c>
      <c r="B262" s="3">
        <v>43116</v>
      </c>
      <c r="C262" s="2">
        <v>269.05</v>
      </c>
      <c r="D262" s="2">
        <v>269.76</v>
      </c>
      <c r="E262" s="2">
        <v>266</v>
      </c>
      <c r="F262" s="2">
        <v>266.76</v>
      </c>
      <c r="G262" s="1">
        <v>110634704</v>
      </c>
      <c r="H262" s="8">
        <f t="shared" si="6"/>
        <v>260.57849999999996</v>
      </c>
      <c r="I262" s="19">
        <f t="shared" si="7"/>
        <v>255.97649999999999</v>
      </c>
      <c r="J262" s="8">
        <f>testdata[[#This Row],[SMA(20)]]+0.025*testdata[[#This Row],[SMA(20)]]</f>
        <v>267.09296249999994</v>
      </c>
      <c r="K262" s="8">
        <f>testdata[[#This Row],[SMA(20)]]-0.025*testdata[[#This Row],[SMA(20)]]</f>
        <v>254.06403749999996</v>
      </c>
      <c r="L262" s="16">
        <f>testdata[[#This Row],[close]]-testdata[[#This Row],[SMA(TW)]]</f>
        <v>10.783500000000004</v>
      </c>
      <c r="M262"/>
    </row>
    <row r="263" spans="1:13" x14ac:dyDescent="0.25">
      <c r="A263" s="6">
        <v>262</v>
      </c>
      <c r="B263" s="3">
        <v>43117</v>
      </c>
      <c r="C263" s="2">
        <v>267.77999999999997</v>
      </c>
      <c r="D263" s="2">
        <v>269.72000000000003</v>
      </c>
      <c r="E263" s="2">
        <v>266.76</v>
      </c>
      <c r="F263" s="2">
        <v>269.3</v>
      </c>
      <c r="G263" s="1">
        <v>117595008</v>
      </c>
      <c r="H263" s="8">
        <f t="shared" si="6"/>
        <v>261.20950000000005</v>
      </c>
      <c r="I263" s="19">
        <f t="shared" si="7"/>
        <v>256.34599999999995</v>
      </c>
      <c r="J263" s="8">
        <f>testdata[[#This Row],[SMA(20)]]+0.025*testdata[[#This Row],[SMA(20)]]</f>
        <v>267.73973750000005</v>
      </c>
      <c r="K263" s="8">
        <f>testdata[[#This Row],[SMA(20)]]-0.025*testdata[[#This Row],[SMA(20)]]</f>
        <v>254.67926250000005</v>
      </c>
      <c r="L263" s="16">
        <f>testdata[[#This Row],[close]]-testdata[[#This Row],[SMA(TW)]]</f>
        <v>12.954000000000065</v>
      </c>
      <c r="M263"/>
    </row>
    <row r="264" spans="1:13" x14ac:dyDescent="0.25">
      <c r="A264" s="6">
        <v>263</v>
      </c>
      <c r="B264" s="3">
        <v>43118</v>
      </c>
      <c r="C264" s="2">
        <v>269.17</v>
      </c>
      <c r="D264" s="2">
        <v>269.64</v>
      </c>
      <c r="E264" s="2">
        <v>268.31</v>
      </c>
      <c r="F264" s="2">
        <v>268.85000000000002</v>
      </c>
      <c r="G264" s="1">
        <v>104584464</v>
      </c>
      <c r="H264" s="8">
        <f t="shared" si="6"/>
        <v>261.73650000000009</v>
      </c>
      <c r="I264" s="19">
        <f t="shared" si="7"/>
        <v>256.81550000000004</v>
      </c>
      <c r="J264" s="8">
        <f>testdata[[#This Row],[SMA(20)]]+0.025*testdata[[#This Row],[SMA(20)]]</f>
        <v>268.27991250000008</v>
      </c>
      <c r="K264" s="8">
        <f>testdata[[#This Row],[SMA(20)]]-0.025*testdata[[#This Row],[SMA(20)]]</f>
        <v>255.1930875000001</v>
      </c>
      <c r="L264" s="16">
        <f>testdata[[#This Row],[close]]-testdata[[#This Row],[SMA(TW)]]</f>
        <v>12.03449999999998</v>
      </c>
      <c r="M264"/>
    </row>
    <row r="265" spans="1:13" x14ac:dyDescent="0.25">
      <c r="A265" s="6">
        <v>264</v>
      </c>
      <c r="B265" s="3">
        <v>43119</v>
      </c>
      <c r="C265" s="2">
        <v>269.48</v>
      </c>
      <c r="D265" s="2">
        <v>270.07</v>
      </c>
      <c r="E265" s="2">
        <v>268.85000000000002</v>
      </c>
      <c r="F265" s="2">
        <v>270.07</v>
      </c>
      <c r="G265" s="1">
        <v>146315344</v>
      </c>
      <c r="H265" s="8">
        <f t="shared" si="6"/>
        <v>262.37400000000002</v>
      </c>
      <c r="I265" s="19">
        <f t="shared" si="7"/>
        <v>257.37050000000005</v>
      </c>
      <c r="J265" s="8">
        <f>testdata[[#This Row],[SMA(20)]]+0.025*testdata[[#This Row],[SMA(20)]]</f>
        <v>268.93335000000002</v>
      </c>
      <c r="K265" s="8">
        <f>testdata[[#This Row],[SMA(20)]]-0.025*testdata[[#This Row],[SMA(20)]]</f>
        <v>255.81465000000003</v>
      </c>
      <c r="L265" s="16">
        <f>testdata[[#This Row],[close]]-testdata[[#This Row],[SMA(TW)]]</f>
        <v>12.699499999999944</v>
      </c>
      <c r="M265"/>
    </row>
    <row r="266" spans="1:13" x14ac:dyDescent="0.25">
      <c r="A266" s="6">
        <v>265</v>
      </c>
      <c r="B266" s="3">
        <v>43122</v>
      </c>
      <c r="C266" s="2">
        <v>269.83999999999997</v>
      </c>
      <c r="D266" s="2">
        <v>272.27</v>
      </c>
      <c r="E266" s="2">
        <v>269.77999999999997</v>
      </c>
      <c r="F266" s="2">
        <v>272.27</v>
      </c>
      <c r="G266" s="1">
        <v>94818768</v>
      </c>
      <c r="H266" s="8">
        <f t="shared" si="6"/>
        <v>263.12849999999997</v>
      </c>
      <c r="I266" s="19">
        <f t="shared" si="7"/>
        <v>257.90950000000004</v>
      </c>
      <c r="J266" s="8">
        <f>testdata[[#This Row],[SMA(20)]]+0.025*testdata[[#This Row],[SMA(20)]]</f>
        <v>269.70671249999998</v>
      </c>
      <c r="K266" s="8">
        <f>testdata[[#This Row],[SMA(20)]]-0.025*testdata[[#This Row],[SMA(20)]]</f>
        <v>256.55028749999997</v>
      </c>
      <c r="L266" s="16">
        <f>testdata[[#This Row],[close]]-testdata[[#This Row],[SMA(TW)]]</f>
        <v>14.360499999999945</v>
      </c>
      <c r="M266"/>
    </row>
    <row r="267" spans="1:13" x14ac:dyDescent="0.25">
      <c r="A267" s="6">
        <v>266</v>
      </c>
      <c r="B267" s="3">
        <v>43123</v>
      </c>
      <c r="C267" s="2">
        <v>272.31</v>
      </c>
      <c r="D267" s="2">
        <v>273.16000000000003</v>
      </c>
      <c r="E267" s="2">
        <v>271.95999999999998</v>
      </c>
      <c r="F267" s="2">
        <v>272.83999999999997</v>
      </c>
      <c r="G267" s="1">
        <v>100801672</v>
      </c>
      <c r="H267" s="8">
        <f t="shared" si="6"/>
        <v>263.88500000000005</v>
      </c>
      <c r="I267" s="19">
        <f t="shared" si="7"/>
        <v>258.40950000000004</v>
      </c>
      <c r="J267" s="8">
        <f>testdata[[#This Row],[SMA(20)]]+0.025*testdata[[#This Row],[SMA(20)]]</f>
        <v>270.48212500000005</v>
      </c>
      <c r="K267" s="8">
        <f>testdata[[#This Row],[SMA(20)]]-0.025*testdata[[#This Row],[SMA(20)]]</f>
        <v>257.28787500000004</v>
      </c>
      <c r="L267" s="16">
        <f>testdata[[#This Row],[close]]-testdata[[#This Row],[SMA(TW)]]</f>
        <v>14.430499999999938</v>
      </c>
      <c r="M267"/>
    </row>
    <row r="268" spans="1:13" x14ac:dyDescent="0.25">
      <c r="A268" s="6">
        <v>267</v>
      </c>
      <c r="B268" s="3">
        <v>43124</v>
      </c>
      <c r="C268" s="2">
        <v>273.55</v>
      </c>
      <c r="D268" s="2">
        <v>274.2</v>
      </c>
      <c r="E268" s="2">
        <v>271.45</v>
      </c>
      <c r="F268" s="2">
        <v>272.74</v>
      </c>
      <c r="G268" s="1">
        <v>139977680</v>
      </c>
      <c r="H268" s="8">
        <f t="shared" si="6"/>
        <v>264.63950000000006</v>
      </c>
      <c r="I268" s="19">
        <f t="shared" si="7"/>
        <v>258.85050000000001</v>
      </c>
      <c r="J268" s="8">
        <f>testdata[[#This Row],[SMA(20)]]+0.025*testdata[[#This Row],[SMA(20)]]</f>
        <v>271.25548750000007</v>
      </c>
      <c r="K268" s="8">
        <f>testdata[[#This Row],[SMA(20)]]-0.025*testdata[[#This Row],[SMA(20)]]</f>
        <v>258.02351250000004</v>
      </c>
      <c r="L268" s="16">
        <f>testdata[[#This Row],[close]]-testdata[[#This Row],[SMA(TW)]]</f>
        <v>13.889499999999998</v>
      </c>
      <c r="M268"/>
    </row>
    <row r="269" spans="1:13" x14ac:dyDescent="0.25">
      <c r="A269" s="6">
        <v>268</v>
      </c>
      <c r="B269" s="3">
        <v>43125</v>
      </c>
      <c r="C269" s="2">
        <v>273.68</v>
      </c>
      <c r="D269" s="2">
        <v>273.79000000000002</v>
      </c>
      <c r="E269" s="2">
        <v>271.99</v>
      </c>
      <c r="F269" s="2">
        <v>272.85000000000002</v>
      </c>
      <c r="G269" s="1">
        <v>87825816</v>
      </c>
      <c r="H269" s="8">
        <f t="shared" si="6"/>
        <v>265.41500000000008</v>
      </c>
      <c r="I269" s="19">
        <f t="shared" si="7"/>
        <v>259.3655</v>
      </c>
      <c r="J269" s="8">
        <f>testdata[[#This Row],[SMA(20)]]+0.025*testdata[[#This Row],[SMA(20)]]</f>
        <v>272.05037500000009</v>
      </c>
      <c r="K269" s="8">
        <f>testdata[[#This Row],[SMA(20)]]-0.025*testdata[[#This Row],[SMA(20)]]</f>
        <v>258.77962500000007</v>
      </c>
      <c r="L269" s="16">
        <f>testdata[[#This Row],[close]]-testdata[[#This Row],[SMA(TW)]]</f>
        <v>13.484500000000025</v>
      </c>
      <c r="M269"/>
    </row>
    <row r="270" spans="1:13" x14ac:dyDescent="0.25">
      <c r="A270" s="6">
        <v>269</v>
      </c>
      <c r="B270" s="3">
        <v>43126</v>
      </c>
      <c r="C270" s="2">
        <v>273.77</v>
      </c>
      <c r="D270" s="2">
        <v>276.06</v>
      </c>
      <c r="E270" s="2">
        <v>273.49</v>
      </c>
      <c r="F270" s="2">
        <v>276.01</v>
      </c>
      <c r="G270" s="1">
        <v>111868160</v>
      </c>
      <c r="H270" s="8">
        <f t="shared" si="6"/>
        <v>266.34250000000003</v>
      </c>
      <c r="I270" s="19">
        <f t="shared" si="7"/>
        <v>259.96850000000001</v>
      </c>
      <c r="J270" s="8">
        <f>testdata[[#This Row],[SMA(20)]]+0.025*testdata[[#This Row],[SMA(20)]]</f>
        <v>273.00106250000005</v>
      </c>
      <c r="K270" s="8">
        <f>testdata[[#This Row],[SMA(20)]]-0.025*testdata[[#This Row],[SMA(20)]]</f>
        <v>259.68393750000001</v>
      </c>
      <c r="L270" s="16">
        <f>testdata[[#This Row],[close]]-testdata[[#This Row],[SMA(TW)]]</f>
        <v>16.041499999999985</v>
      </c>
      <c r="M270"/>
    </row>
    <row r="271" spans="1:13" x14ac:dyDescent="0.25">
      <c r="A271" s="6">
        <v>270</v>
      </c>
      <c r="B271" s="3">
        <v>43129</v>
      </c>
      <c r="C271" s="2">
        <v>275.39</v>
      </c>
      <c r="D271" s="2">
        <v>275.87</v>
      </c>
      <c r="E271" s="2">
        <v>274.01</v>
      </c>
      <c r="F271" s="2">
        <v>274.18</v>
      </c>
      <c r="G271" s="1">
        <v>93568600</v>
      </c>
      <c r="H271" s="8">
        <f t="shared" si="6"/>
        <v>267.15200000000004</v>
      </c>
      <c r="I271" s="19">
        <f t="shared" si="7"/>
        <v>260.57849999999996</v>
      </c>
      <c r="J271" s="8">
        <f>testdata[[#This Row],[SMA(20)]]+0.025*testdata[[#This Row],[SMA(20)]]</f>
        <v>273.83080000000007</v>
      </c>
      <c r="K271" s="8">
        <f>testdata[[#This Row],[SMA(20)]]-0.025*testdata[[#This Row],[SMA(20)]]</f>
        <v>260.47320000000002</v>
      </c>
      <c r="L271" s="16">
        <f>testdata[[#This Row],[close]]-testdata[[#This Row],[SMA(TW)]]</f>
        <v>13.601500000000044</v>
      </c>
      <c r="M271"/>
    </row>
    <row r="272" spans="1:13" x14ac:dyDescent="0.25">
      <c r="A272" s="6">
        <v>271</v>
      </c>
      <c r="B272" s="3">
        <v>43130</v>
      </c>
      <c r="C272" s="2">
        <v>272.18</v>
      </c>
      <c r="D272" s="2">
        <v>274.24</v>
      </c>
      <c r="E272" s="2">
        <v>270.85000000000002</v>
      </c>
      <c r="F272" s="2">
        <v>271.37</v>
      </c>
      <c r="G272" s="1">
        <v>136842368</v>
      </c>
      <c r="H272" s="8">
        <f t="shared" si="6"/>
        <v>267.86950000000007</v>
      </c>
      <c r="I272" s="19">
        <f t="shared" si="7"/>
        <v>261.20950000000005</v>
      </c>
      <c r="J272" s="8">
        <f>testdata[[#This Row],[SMA(20)]]+0.025*testdata[[#This Row],[SMA(20)]]</f>
        <v>274.56623750000006</v>
      </c>
      <c r="K272" s="8">
        <f>testdata[[#This Row],[SMA(20)]]-0.025*testdata[[#This Row],[SMA(20)]]</f>
        <v>261.17276250000009</v>
      </c>
      <c r="L272" s="16">
        <f>testdata[[#This Row],[close]]-testdata[[#This Row],[SMA(TW)]]</f>
        <v>10.160499999999956</v>
      </c>
      <c r="M272"/>
    </row>
    <row r="273" spans="1:13" x14ac:dyDescent="0.25">
      <c r="A273" s="6">
        <v>272</v>
      </c>
      <c r="B273" s="3">
        <v>43131</v>
      </c>
      <c r="C273" s="2">
        <v>272.3</v>
      </c>
      <c r="D273" s="2">
        <v>272.85000000000002</v>
      </c>
      <c r="E273" s="2">
        <v>270.33</v>
      </c>
      <c r="F273" s="2">
        <v>271.51</v>
      </c>
      <c r="G273" s="1">
        <v>123502168</v>
      </c>
      <c r="H273" s="8">
        <f t="shared" si="6"/>
        <v>268.50200000000007</v>
      </c>
      <c r="I273" s="19">
        <f t="shared" si="7"/>
        <v>261.73650000000009</v>
      </c>
      <c r="J273" s="8">
        <f>testdata[[#This Row],[SMA(20)]]+0.025*testdata[[#This Row],[SMA(20)]]</f>
        <v>275.21455000000009</v>
      </c>
      <c r="K273" s="8">
        <f>testdata[[#This Row],[SMA(20)]]-0.025*testdata[[#This Row],[SMA(20)]]</f>
        <v>261.78945000000004</v>
      </c>
      <c r="L273" s="16">
        <f>testdata[[#This Row],[close]]-testdata[[#This Row],[SMA(TW)]]</f>
        <v>9.773499999999899</v>
      </c>
      <c r="M273"/>
    </row>
    <row r="274" spans="1:13" x14ac:dyDescent="0.25">
      <c r="A274" s="6">
        <v>273</v>
      </c>
      <c r="B274" s="3">
        <v>43132</v>
      </c>
      <c r="C274" s="2">
        <v>270.70999999999998</v>
      </c>
      <c r="D274" s="2">
        <v>272.62</v>
      </c>
      <c r="E274" s="2">
        <v>270.33</v>
      </c>
      <c r="F274" s="2">
        <v>271.2</v>
      </c>
      <c r="G274" s="1">
        <v>93552120</v>
      </c>
      <c r="H274" s="8">
        <f t="shared" si="6"/>
        <v>269.03700000000003</v>
      </c>
      <c r="I274" s="19">
        <f t="shared" si="7"/>
        <v>262.37400000000002</v>
      </c>
      <c r="J274" s="8">
        <f>testdata[[#This Row],[SMA(20)]]+0.025*testdata[[#This Row],[SMA(20)]]</f>
        <v>275.76292500000005</v>
      </c>
      <c r="K274" s="8">
        <f>testdata[[#This Row],[SMA(20)]]-0.025*testdata[[#This Row],[SMA(20)]]</f>
        <v>262.31107500000002</v>
      </c>
      <c r="L274" s="16">
        <f>testdata[[#This Row],[close]]-testdata[[#This Row],[SMA(TW)]]</f>
        <v>8.825999999999965</v>
      </c>
      <c r="M274"/>
    </row>
    <row r="275" spans="1:13" x14ac:dyDescent="0.25">
      <c r="A275" s="6">
        <v>274</v>
      </c>
      <c r="B275" s="3">
        <v>43133</v>
      </c>
      <c r="C275" s="2">
        <v>269.75</v>
      </c>
      <c r="D275" s="2">
        <v>269.89999999999998</v>
      </c>
      <c r="E275" s="2">
        <v>265.25</v>
      </c>
      <c r="F275" s="2">
        <v>265.29000000000002</v>
      </c>
      <c r="G275" s="1">
        <v>179804944</v>
      </c>
      <c r="H275" s="8">
        <f t="shared" si="6"/>
        <v>269.22200000000004</v>
      </c>
      <c r="I275" s="19">
        <f t="shared" si="7"/>
        <v>263.12849999999997</v>
      </c>
      <c r="J275" s="8">
        <f>testdata[[#This Row],[SMA(20)]]+0.025*testdata[[#This Row],[SMA(20)]]</f>
        <v>275.95255000000003</v>
      </c>
      <c r="K275" s="8">
        <f>testdata[[#This Row],[SMA(20)]]-0.025*testdata[[#This Row],[SMA(20)]]</f>
        <v>262.49145000000004</v>
      </c>
      <c r="L275" s="16">
        <f>testdata[[#This Row],[close]]-testdata[[#This Row],[SMA(TW)]]</f>
        <v>2.1615000000000464</v>
      </c>
      <c r="M275"/>
    </row>
    <row r="276" spans="1:13" x14ac:dyDescent="0.25">
      <c r="A276" s="6">
        <v>275</v>
      </c>
      <c r="B276" s="3">
        <v>43136</v>
      </c>
      <c r="C276" s="2">
        <v>263.37</v>
      </c>
      <c r="D276" s="2">
        <v>265.68</v>
      </c>
      <c r="E276" s="2">
        <v>253.6</v>
      </c>
      <c r="F276" s="2">
        <v>254.2</v>
      </c>
      <c r="G276" s="1">
        <v>305963968</v>
      </c>
      <c r="H276" s="8">
        <f t="shared" si="6"/>
        <v>268.76499999999999</v>
      </c>
      <c r="I276" s="19">
        <f t="shared" si="7"/>
        <v>263.88500000000005</v>
      </c>
      <c r="J276" s="8">
        <f>testdata[[#This Row],[SMA(20)]]+0.025*testdata[[#This Row],[SMA(20)]]</f>
        <v>275.48412500000001</v>
      </c>
      <c r="K276" s="8">
        <f>testdata[[#This Row],[SMA(20)]]-0.025*testdata[[#This Row],[SMA(20)]]</f>
        <v>262.04587499999997</v>
      </c>
      <c r="L276" s="16">
        <f>testdata[[#This Row],[close]]-testdata[[#This Row],[SMA(TW)]]</f>
        <v>-9.6850000000000591</v>
      </c>
      <c r="M276"/>
    </row>
    <row r="277" spans="1:13" x14ac:dyDescent="0.25">
      <c r="A277" s="6">
        <v>276</v>
      </c>
      <c r="B277" s="3">
        <v>43137</v>
      </c>
      <c r="C277" s="2">
        <v>250.35</v>
      </c>
      <c r="D277" s="2">
        <v>259.76</v>
      </c>
      <c r="E277" s="2">
        <v>249.16</v>
      </c>
      <c r="F277" s="2">
        <v>259.20999999999998</v>
      </c>
      <c r="G277" s="1">
        <v>368619296</v>
      </c>
      <c r="H277" s="8">
        <f t="shared" si="6"/>
        <v>268.53449999999998</v>
      </c>
      <c r="I277" s="19">
        <f t="shared" si="7"/>
        <v>264.63950000000006</v>
      </c>
      <c r="J277" s="8">
        <f>testdata[[#This Row],[SMA(20)]]+0.025*testdata[[#This Row],[SMA(20)]]</f>
        <v>275.2478625</v>
      </c>
      <c r="K277" s="8">
        <f>testdata[[#This Row],[SMA(20)]]-0.025*testdata[[#This Row],[SMA(20)]]</f>
        <v>261.82113749999996</v>
      </c>
      <c r="L277" s="16">
        <f>testdata[[#This Row],[close]]-testdata[[#This Row],[SMA(TW)]]</f>
        <v>-5.4295000000000755</v>
      </c>
      <c r="M277"/>
    </row>
    <row r="278" spans="1:13" x14ac:dyDescent="0.25">
      <c r="A278" s="6">
        <v>277</v>
      </c>
      <c r="B278" s="3">
        <v>43138</v>
      </c>
      <c r="C278" s="2">
        <v>258.60000000000002</v>
      </c>
      <c r="D278" s="2">
        <v>262.32</v>
      </c>
      <c r="E278" s="2">
        <v>257.70999999999998</v>
      </c>
      <c r="F278" s="2">
        <v>257.8</v>
      </c>
      <c r="G278" s="1">
        <v>173784240</v>
      </c>
      <c r="H278" s="8">
        <f t="shared" ref="H278:H341" si="8">AVERAGE(F259:F278)</f>
        <v>268.20349999999996</v>
      </c>
      <c r="I278" s="19">
        <f t="shared" si="7"/>
        <v>265.41500000000008</v>
      </c>
      <c r="J278" s="8">
        <f>testdata[[#This Row],[SMA(20)]]+0.025*testdata[[#This Row],[SMA(20)]]</f>
        <v>274.90858749999995</v>
      </c>
      <c r="K278" s="8">
        <f>testdata[[#This Row],[SMA(20)]]-0.025*testdata[[#This Row],[SMA(20)]]</f>
        <v>261.49841249999997</v>
      </c>
      <c r="L278" s="16">
        <f>testdata[[#This Row],[close]]-testdata[[#This Row],[SMA(TW)]]</f>
        <v>-7.6150000000000659</v>
      </c>
      <c r="M278"/>
    </row>
    <row r="279" spans="1:13" x14ac:dyDescent="0.25">
      <c r="A279" s="6">
        <v>278</v>
      </c>
      <c r="B279" s="3">
        <v>43139</v>
      </c>
      <c r="C279" s="2">
        <v>258.13</v>
      </c>
      <c r="D279" s="2">
        <v>258.27999999999997</v>
      </c>
      <c r="E279" s="2">
        <v>248.09</v>
      </c>
      <c r="F279" s="2">
        <v>248.13</v>
      </c>
      <c r="G279" s="1">
        <v>255885040</v>
      </c>
      <c r="H279" s="8">
        <f t="shared" si="8"/>
        <v>267.40949999999992</v>
      </c>
      <c r="I279" s="19">
        <f t="shared" si="7"/>
        <v>266.34250000000003</v>
      </c>
      <c r="J279" s="8">
        <f>testdata[[#This Row],[SMA(20)]]+0.025*testdata[[#This Row],[SMA(20)]]</f>
        <v>274.09473749999989</v>
      </c>
      <c r="K279" s="8">
        <f>testdata[[#This Row],[SMA(20)]]-0.025*testdata[[#This Row],[SMA(20)]]</f>
        <v>260.72426249999995</v>
      </c>
      <c r="L279" s="16">
        <f>testdata[[#This Row],[close]]-testdata[[#This Row],[SMA(TW)]]</f>
        <v>-18.212500000000034</v>
      </c>
      <c r="M279"/>
    </row>
    <row r="280" spans="1:13" x14ac:dyDescent="0.25">
      <c r="A280" s="6">
        <v>279</v>
      </c>
      <c r="B280" s="3">
        <v>43140</v>
      </c>
      <c r="C280" s="2">
        <v>251.18</v>
      </c>
      <c r="D280" s="2">
        <v>253.89</v>
      </c>
      <c r="E280" s="2">
        <v>243.59</v>
      </c>
      <c r="F280" s="2">
        <v>251.86</v>
      </c>
      <c r="G280" s="1">
        <v>294421856</v>
      </c>
      <c r="H280" s="8">
        <f t="shared" si="8"/>
        <v>266.70549999999992</v>
      </c>
      <c r="I280" s="19">
        <f t="shared" si="7"/>
        <v>267.15200000000004</v>
      </c>
      <c r="J280" s="8">
        <f>testdata[[#This Row],[SMA(20)]]+0.025*testdata[[#This Row],[SMA(20)]]</f>
        <v>273.37313749999993</v>
      </c>
      <c r="K280" s="8">
        <f>testdata[[#This Row],[SMA(20)]]-0.025*testdata[[#This Row],[SMA(20)]]</f>
        <v>260.0378624999999</v>
      </c>
      <c r="L280" s="16">
        <f>testdata[[#This Row],[close]]-testdata[[#This Row],[SMA(TW)]]</f>
        <v>-15.29200000000003</v>
      </c>
      <c r="M280"/>
    </row>
    <row r="281" spans="1:13" x14ac:dyDescent="0.25">
      <c r="A281" s="6">
        <v>280</v>
      </c>
      <c r="B281" s="3">
        <v>43143</v>
      </c>
      <c r="C281" s="2">
        <v>254.1</v>
      </c>
      <c r="D281" s="2">
        <v>257.16000000000003</v>
      </c>
      <c r="E281" s="2">
        <v>252.02</v>
      </c>
      <c r="F281" s="2">
        <v>255.56</v>
      </c>
      <c r="G281" s="1">
        <v>149239040</v>
      </c>
      <c r="H281" s="8">
        <f t="shared" si="8"/>
        <v>266.09999999999997</v>
      </c>
      <c r="I281" s="19">
        <f t="shared" si="7"/>
        <v>267.86950000000007</v>
      </c>
      <c r="J281" s="8">
        <f>testdata[[#This Row],[SMA(20)]]+0.025*testdata[[#This Row],[SMA(20)]]</f>
        <v>272.75249999999994</v>
      </c>
      <c r="K281" s="8">
        <f>testdata[[#This Row],[SMA(20)]]-0.025*testdata[[#This Row],[SMA(20)]]</f>
        <v>259.44749999999999</v>
      </c>
      <c r="L281" s="16">
        <f>testdata[[#This Row],[close]]-testdata[[#This Row],[SMA(TW)]]</f>
        <v>-12.309500000000071</v>
      </c>
      <c r="M281"/>
    </row>
    <row r="282" spans="1:13" x14ac:dyDescent="0.25">
      <c r="A282" s="6">
        <v>281</v>
      </c>
      <c r="B282" s="3">
        <v>43144</v>
      </c>
      <c r="C282" s="2">
        <v>254.24</v>
      </c>
      <c r="D282" s="2">
        <v>256.79000000000002</v>
      </c>
      <c r="E282" s="2">
        <v>253.6</v>
      </c>
      <c r="F282" s="2">
        <v>256.19</v>
      </c>
      <c r="G282" s="1">
        <v>84333360</v>
      </c>
      <c r="H282" s="8">
        <f t="shared" si="8"/>
        <v>265.57149999999996</v>
      </c>
      <c r="I282" s="19">
        <f t="shared" si="7"/>
        <v>268.50200000000007</v>
      </c>
      <c r="J282" s="8">
        <f>testdata[[#This Row],[SMA(20)]]+0.025*testdata[[#This Row],[SMA(20)]]</f>
        <v>272.21078749999998</v>
      </c>
      <c r="K282" s="8">
        <f>testdata[[#This Row],[SMA(20)]]-0.025*testdata[[#This Row],[SMA(20)]]</f>
        <v>258.93221249999993</v>
      </c>
      <c r="L282" s="16">
        <f>testdata[[#This Row],[close]]-testdata[[#This Row],[SMA(TW)]]</f>
        <v>-12.312000000000069</v>
      </c>
      <c r="M282"/>
    </row>
    <row r="283" spans="1:13" x14ac:dyDescent="0.25">
      <c r="A283" s="6">
        <v>282</v>
      </c>
      <c r="B283" s="3">
        <v>43145</v>
      </c>
      <c r="C283" s="2">
        <v>254.56</v>
      </c>
      <c r="D283" s="2">
        <v>260.04000000000002</v>
      </c>
      <c r="E283" s="2">
        <v>254.55</v>
      </c>
      <c r="F283" s="2">
        <v>259.64999999999998</v>
      </c>
      <c r="G283" s="1">
        <v>125358160</v>
      </c>
      <c r="H283" s="8">
        <f t="shared" si="8"/>
        <v>265.08899999999994</v>
      </c>
      <c r="I283" s="19">
        <f t="shared" si="7"/>
        <v>269.03700000000003</v>
      </c>
      <c r="J283" s="8">
        <f>testdata[[#This Row],[SMA(20)]]+0.025*testdata[[#This Row],[SMA(20)]]</f>
        <v>271.71622499999995</v>
      </c>
      <c r="K283" s="8">
        <f>testdata[[#This Row],[SMA(20)]]-0.025*testdata[[#This Row],[SMA(20)]]</f>
        <v>258.46177499999993</v>
      </c>
      <c r="L283" s="16">
        <f>testdata[[#This Row],[close]]-testdata[[#This Row],[SMA(TW)]]</f>
        <v>-9.3870000000000573</v>
      </c>
      <c r="M283"/>
    </row>
    <row r="284" spans="1:13" x14ac:dyDescent="0.25">
      <c r="A284" s="6">
        <v>283</v>
      </c>
      <c r="B284" s="3">
        <v>43146</v>
      </c>
      <c r="C284" s="2">
        <v>261.56</v>
      </c>
      <c r="D284" s="2">
        <v>262.97000000000003</v>
      </c>
      <c r="E284" s="2">
        <v>258.86</v>
      </c>
      <c r="F284" s="2">
        <v>262.95999999999998</v>
      </c>
      <c r="G284" s="1">
        <v>115457688</v>
      </c>
      <c r="H284" s="8">
        <f t="shared" si="8"/>
        <v>264.79449999999997</v>
      </c>
      <c r="I284" s="19">
        <f t="shared" si="7"/>
        <v>269.22200000000004</v>
      </c>
      <c r="J284" s="8">
        <f>testdata[[#This Row],[SMA(20)]]+0.025*testdata[[#This Row],[SMA(20)]]</f>
        <v>271.41436249999998</v>
      </c>
      <c r="K284" s="8">
        <f>testdata[[#This Row],[SMA(20)]]-0.025*testdata[[#This Row],[SMA(20)]]</f>
        <v>258.17463749999996</v>
      </c>
      <c r="L284" s="16">
        <f>testdata[[#This Row],[close]]-testdata[[#This Row],[SMA(TW)]]</f>
        <v>-6.2620000000000573</v>
      </c>
      <c r="M284"/>
    </row>
    <row r="285" spans="1:13" x14ac:dyDescent="0.25">
      <c r="A285" s="6">
        <v>284</v>
      </c>
      <c r="B285" s="3">
        <v>43147</v>
      </c>
      <c r="C285" s="2">
        <v>262.27999999999997</v>
      </c>
      <c r="D285" s="2">
        <v>265.17</v>
      </c>
      <c r="E285" s="2">
        <v>262.23</v>
      </c>
      <c r="F285" s="2">
        <v>263.04000000000002</v>
      </c>
      <c r="G285" s="1">
        <v>166561968</v>
      </c>
      <c r="H285" s="8">
        <f t="shared" si="8"/>
        <v>264.44299999999993</v>
      </c>
      <c r="I285" s="19">
        <f t="shared" si="7"/>
        <v>268.76499999999999</v>
      </c>
      <c r="J285" s="8">
        <f>testdata[[#This Row],[SMA(20)]]+0.025*testdata[[#This Row],[SMA(20)]]</f>
        <v>271.0540749999999</v>
      </c>
      <c r="K285" s="8">
        <f>testdata[[#This Row],[SMA(20)]]-0.025*testdata[[#This Row],[SMA(20)]]</f>
        <v>257.83192499999996</v>
      </c>
      <c r="L285" s="16">
        <f>testdata[[#This Row],[close]]-testdata[[#This Row],[SMA(TW)]]</f>
        <v>-5.7249999999999659</v>
      </c>
      <c r="M285"/>
    </row>
    <row r="286" spans="1:13" x14ac:dyDescent="0.25">
      <c r="A286" s="6">
        <v>285</v>
      </c>
      <c r="B286" s="3">
        <v>43151</v>
      </c>
      <c r="C286" s="2">
        <v>262</v>
      </c>
      <c r="D286" s="2">
        <v>263.58</v>
      </c>
      <c r="E286" s="2">
        <v>260.52999999999997</v>
      </c>
      <c r="F286" s="2">
        <v>261.39</v>
      </c>
      <c r="G286" s="1">
        <v>89676400</v>
      </c>
      <c r="H286" s="8">
        <f t="shared" si="8"/>
        <v>263.899</v>
      </c>
      <c r="I286" s="19">
        <f t="shared" si="7"/>
        <v>268.53449999999998</v>
      </c>
      <c r="J286" s="8">
        <f>testdata[[#This Row],[SMA(20)]]+0.025*testdata[[#This Row],[SMA(20)]]</f>
        <v>270.49647499999998</v>
      </c>
      <c r="K286" s="8">
        <f>testdata[[#This Row],[SMA(20)]]-0.025*testdata[[#This Row],[SMA(20)]]</f>
        <v>257.30152500000003</v>
      </c>
      <c r="L286" s="16">
        <f>testdata[[#This Row],[close]]-testdata[[#This Row],[SMA(TW)]]</f>
        <v>-7.1444999999999936</v>
      </c>
      <c r="M286"/>
    </row>
    <row r="287" spans="1:13" x14ac:dyDescent="0.25">
      <c r="A287" s="6">
        <v>286</v>
      </c>
      <c r="B287" s="3">
        <v>43152</v>
      </c>
      <c r="C287" s="2">
        <v>261.87</v>
      </c>
      <c r="D287" s="2">
        <v>264.58999999999997</v>
      </c>
      <c r="E287" s="2">
        <v>259.99</v>
      </c>
      <c r="F287" s="2">
        <v>260.08999999999997</v>
      </c>
      <c r="G287" s="1">
        <v>102669592</v>
      </c>
      <c r="H287" s="8">
        <f t="shared" si="8"/>
        <v>263.26150000000001</v>
      </c>
      <c r="I287" s="19">
        <f t="shared" ref="I287:I350" si="9">AVERAGE(F259:F278)</f>
        <v>268.20349999999996</v>
      </c>
      <c r="J287" s="8">
        <f>testdata[[#This Row],[SMA(20)]]+0.025*testdata[[#This Row],[SMA(20)]]</f>
        <v>269.84303750000004</v>
      </c>
      <c r="K287" s="8">
        <f>testdata[[#This Row],[SMA(20)]]-0.025*testdata[[#This Row],[SMA(20)]]</f>
        <v>256.67996249999999</v>
      </c>
      <c r="L287" s="16">
        <f>testdata[[#This Row],[close]]-testdata[[#This Row],[SMA(TW)]]</f>
        <v>-8.1134999999999877</v>
      </c>
      <c r="M287"/>
    </row>
    <row r="288" spans="1:13" x14ac:dyDescent="0.25">
      <c r="A288" s="6">
        <v>287</v>
      </c>
      <c r="B288" s="3">
        <v>43153</v>
      </c>
      <c r="C288" s="2">
        <v>261.10000000000002</v>
      </c>
      <c r="D288" s="2">
        <v>262.98</v>
      </c>
      <c r="E288" s="2">
        <v>259.7</v>
      </c>
      <c r="F288" s="2">
        <v>260.43</v>
      </c>
      <c r="G288" s="1">
        <v>114742312</v>
      </c>
      <c r="H288" s="8">
        <f t="shared" si="8"/>
        <v>262.64600000000007</v>
      </c>
      <c r="I288" s="19">
        <f t="shared" si="9"/>
        <v>267.40949999999992</v>
      </c>
      <c r="J288" s="8">
        <f>testdata[[#This Row],[SMA(20)]]+0.025*testdata[[#This Row],[SMA(20)]]</f>
        <v>269.21215000000007</v>
      </c>
      <c r="K288" s="8">
        <f>testdata[[#This Row],[SMA(20)]]-0.025*testdata[[#This Row],[SMA(20)]]</f>
        <v>256.07985000000008</v>
      </c>
      <c r="L288" s="16">
        <f>testdata[[#This Row],[close]]-testdata[[#This Row],[SMA(TW)]]</f>
        <v>-6.9794999999999163</v>
      </c>
      <c r="M288"/>
    </row>
    <row r="289" spans="1:13" x14ac:dyDescent="0.25">
      <c r="A289" s="6">
        <v>288</v>
      </c>
      <c r="B289" s="3">
        <v>43154</v>
      </c>
      <c r="C289" s="2">
        <v>261.77</v>
      </c>
      <c r="D289" s="2">
        <v>264.58</v>
      </c>
      <c r="E289" s="2">
        <v>261.25</v>
      </c>
      <c r="F289" s="2">
        <v>264.58</v>
      </c>
      <c r="G289" s="1">
        <v>96318072</v>
      </c>
      <c r="H289" s="8">
        <f t="shared" si="8"/>
        <v>262.23250000000007</v>
      </c>
      <c r="I289" s="19">
        <f t="shared" si="9"/>
        <v>266.70549999999992</v>
      </c>
      <c r="J289" s="8">
        <f>testdata[[#This Row],[SMA(20)]]+0.025*testdata[[#This Row],[SMA(20)]]</f>
        <v>268.78831250000007</v>
      </c>
      <c r="K289" s="8">
        <f>testdata[[#This Row],[SMA(20)]]-0.025*testdata[[#This Row],[SMA(20)]]</f>
        <v>255.67668750000007</v>
      </c>
      <c r="L289" s="16">
        <f>testdata[[#This Row],[close]]-testdata[[#This Row],[SMA(TW)]]</f>
        <v>-2.1254999999999313</v>
      </c>
      <c r="M289"/>
    </row>
    <row r="290" spans="1:13" x14ac:dyDescent="0.25">
      <c r="A290" s="6">
        <v>289</v>
      </c>
      <c r="B290" s="3">
        <v>43157</v>
      </c>
      <c r="C290" s="2">
        <v>265.76</v>
      </c>
      <c r="D290" s="2">
        <v>267.76</v>
      </c>
      <c r="E290" s="2">
        <v>265.11</v>
      </c>
      <c r="F290" s="2">
        <v>267.64999999999998</v>
      </c>
      <c r="G290" s="1">
        <v>89802808</v>
      </c>
      <c r="H290" s="8">
        <f t="shared" si="8"/>
        <v>261.81450000000007</v>
      </c>
      <c r="I290" s="19">
        <f t="shared" si="9"/>
        <v>266.09999999999997</v>
      </c>
      <c r="J290" s="8">
        <f>testdata[[#This Row],[SMA(20)]]+0.025*testdata[[#This Row],[SMA(20)]]</f>
        <v>268.35986250000008</v>
      </c>
      <c r="K290" s="8">
        <f>testdata[[#This Row],[SMA(20)]]-0.025*testdata[[#This Row],[SMA(20)]]</f>
        <v>255.26913750000006</v>
      </c>
      <c r="L290" s="16">
        <f>testdata[[#This Row],[close]]-testdata[[#This Row],[SMA(TW)]]</f>
        <v>1.5500000000000114</v>
      </c>
      <c r="M290"/>
    </row>
    <row r="291" spans="1:13" x14ac:dyDescent="0.25">
      <c r="A291" s="6">
        <v>290</v>
      </c>
      <c r="B291" s="3">
        <v>43158</v>
      </c>
      <c r="C291" s="2">
        <v>267.86</v>
      </c>
      <c r="D291" s="2">
        <v>268.63</v>
      </c>
      <c r="E291" s="2">
        <v>264.24</v>
      </c>
      <c r="F291" s="2">
        <v>264.31</v>
      </c>
      <c r="G291" s="1">
        <v>102893264</v>
      </c>
      <c r="H291" s="8">
        <f t="shared" si="8"/>
        <v>261.32100000000003</v>
      </c>
      <c r="I291" s="19">
        <f t="shared" si="9"/>
        <v>265.57149999999996</v>
      </c>
      <c r="J291" s="8">
        <f>testdata[[#This Row],[SMA(20)]]+0.025*testdata[[#This Row],[SMA(20)]]</f>
        <v>267.85402500000004</v>
      </c>
      <c r="K291" s="8">
        <f>testdata[[#This Row],[SMA(20)]]-0.025*testdata[[#This Row],[SMA(20)]]</f>
        <v>254.78797500000002</v>
      </c>
      <c r="L291" s="16">
        <f>testdata[[#This Row],[close]]-testdata[[#This Row],[SMA(TW)]]</f>
        <v>-1.2614999999999554</v>
      </c>
      <c r="M291"/>
    </row>
    <row r="292" spans="1:13" x14ac:dyDescent="0.25">
      <c r="A292" s="6">
        <v>291</v>
      </c>
      <c r="B292" s="3">
        <v>43159</v>
      </c>
      <c r="C292" s="2">
        <v>265.51</v>
      </c>
      <c r="D292" s="2">
        <v>266.01</v>
      </c>
      <c r="E292" s="2">
        <v>261.29000000000002</v>
      </c>
      <c r="F292" s="2">
        <v>261.63</v>
      </c>
      <c r="G292" s="1">
        <v>126575120</v>
      </c>
      <c r="H292" s="8">
        <f t="shared" si="8"/>
        <v>260.834</v>
      </c>
      <c r="I292" s="19">
        <f t="shared" si="9"/>
        <v>265.08899999999994</v>
      </c>
      <c r="J292" s="8">
        <f>testdata[[#This Row],[SMA(20)]]+0.025*testdata[[#This Row],[SMA(20)]]</f>
        <v>267.35485</v>
      </c>
      <c r="K292" s="8">
        <f>testdata[[#This Row],[SMA(20)]]-0.025*testdata[[#This Row],[SMA(20)]]</f>
        <v>254.31315000000001</v>
      </c>
      <c r="L292" s="16">
        <f>testdata[[#This Row],[close]]-testdata[[#This Row],[SMA(TW)]]</f>
        <v>-3.4589999999999463</v>
      </c>
      <c r="M292"/>
    </row>
    <row r="293" spans="1:13" x14ac:dyDescent="0.25">
      <c r="A293" s="6">
        <v>292</v>
      </c>
      <c r="B293" s="3">
        <v>43160</v>
      </c>
      <c r="C293" s="2">
        <v>261.39999999999998</v>
      </c>
      <c r="D293" s="2">
        <v>263.10000000000002</v>
      </c>
      <c r="E293" s="2">
        <v>256.19</v>
      </c>
      <c r="F293" s="2">
        <v>257.83</v>
      </c>
      <c r="G293" s="1">
        <v>183626128</v>
      </c>
      <c r="H293" s="8">
        <f t="shared" si="8"/>
        <v>260.14999999999998</v>
      </c>
      <c r="I293" s="19">
        <f t="shared" si="9"/>
        <v>264.79449999999997</v>
      </c>
      <c r="J293" s="8">
        <f>testdata[[#This Row],[SMA(20)]]+0.025*testdata[[#This Row],[SMA(20)]]</f>
        <v>266.65375</v>
      </c>
      <c r="K293" s="8">
        <f>testdata[[#This Row],[SMA(20)]]-0.025*testdata[[#This Row],[SMA(20)]]</f>
        <v>253.64624999999998</v>
      </c>
      <c r="L293" s="16">
        <f>testdata[[#This Row],[close]]-testdata[[#This Row],[SMA(TW)]]</f>
        <v>-6.9644999999999868</v>
      </c>
      <c r="M293"/>
    </row>
    <row r="294" spans="1:13" x14ac:dyDescent="0.25">
      <c r="A294" s="6">
        <v>293</v>
      </c>
      <c r="B294" s="3">
        <v>43161</v>
      </c>
      <c r="C294" s="2">
        <v>256</v>
      </c>
      <c r="D294" s="2">
        <v>259.77</v>
      </c>
      <c r="E294" s="2">
        <v>255.05</v>
      </c>
      <c r="F294" s="2">
        <v>259.16000000000003</v>
      </c>
      <c r="G294" s="1">
        <v>144408144</v>
      </c>
      <c r="H294" s="8">
        <f t="shared" si="8"/>
        <v>259.548</v>
      </c>
      <c r="I294" s="19">
        <f t="shared" si="9"/>
        <v>264.44299999999993</v>
      </c>
      <c r="J294" s="8">
        <f>testdata[[#This Row],[SMA(20)]]+0.025*testdata[[#This Row],[SMA(20)]]</f>
        <v>266.0367</v>
      </c>
      <c r="K294" s="8">
        <f>testdata[[#This Row],[SMA(20)]]-0.025*testdata[[#This Row],[SMA(20)]]</f>
        <v>253.05930000000001</v>
      </c>
      <c r="L294" s="16">
        <f>testdata[[#This Row],[close]]-testdata[[#This Row],[SMA(TW)]]</f>
        <v>-5.2829999999999018</v>
      </c>
      <c r="M294"/>
    </row>
    <row r="295" spans="1:13" x14ac:dyDescent="0.25">
      <c r="A295" s="6">
        <v>294</v>
      </c>
      <c r="B295" s="3">
        <v>43164</v>
      </c>
      <c r="C295" s="2">
        <v>257.86</v>
      </c>
      <c r="D295" s="2">
        <v>262.83</v>
      </c>
      <c r="E295" s="2">
        <v>257.74</v>
      </c>
      <c r="F295" s="2">
        <v>262.14999999999998</v>
      </c>
      <c r="G295" s="1">
        <v>101032888</v>
      </c>
      <c r="H295" s="8">
        <f t="shared" si="8"/>
        <v>259.39099999999996</v>
      </c>
      <c r="I295" s="19">
        <f t="shared" si="9"/>
        <v>263.899</v>
      </c>
      <c r="J295" s="8">
        <f>testdata[[#This Row],[SMA(20)]]+0.025*testdata[[#This Row],[SMA(20)]]</f>
        <v>265.87577499999998</v>
      </c>
      <c r="K295" s="8">
        <f>testdata[[#This Row],[SMA(20)]]-0.025*testdata[[#This Row],[SMA(20)]]</f>
        <v>252.90622499999995</v>
      </c>
      <c r="L295" s="16">
        <f>testdata[[#This Row],[close]]-testdata[[#This Row],[SMA(TW)]]</f>
        <v>-1.7490000000000236</v>
      </c>
      <c r="M295"/>
    </row>
    <row r="296" spans="1:13" x14ac:dyDescent="0.25">
      <c r="A296" s="6">
        <v>295</v>
      </c>
      <c r="B296" s="3">
        <v>43165</v>
      </c>
      <c r="C296" s="2">
        <v>263.22000000000003</v>
      </c>
      <c r="D296" s="2">
        <v>263.31</v>
      </c>
      <c r="E296" s="2">
        <v>261.18</v>
      </c>
      <c r="F296" s="2">
        <v>262.82</v>
      </c>
      <c r="G296" s="1">
        <v>82245904</v>
      </c>
      <c r="H296" s="8">
        <f t="shared" si="8"/>
        <v>259.82199999999995</v>
      </c>
      <c r="I296" s="19">
        <f t="shared" si="9"/>
        <v>263.26150000000001</v>
      </c>
      <c r="J296" s="8">
        <f>testdata[[#This Row],[SMA(20)]]+0.025*testdata[[#This Row],[SMA(20)]]</f>
        <v>266.31754999999993</v>
      </c>
      <c r="K296" s="8">
        <f>testdata[[#This Row],[SMA(20)]]-0.025*testdata[[#This Row],[SMA(20)]]</f>
        <v>253.32644999999994</v>
      </c>
      <c r="L296" s="16">
        <f>testdata[[#This Row],[close]]-testdata[[#This Row],[SMA(TW)]]</f>
        <v>-0.4415000000000191</v>
      </c>
      <c r="M296"/>
    </row>
    <row r="297" spans="1:13" x14ac:dyDescent="0.25">
      <c r="A297" s="6">
        <v>296</v>
      </c>
      <c r="B297" s="3">
        <v>43166</v>
      </c>
      <c r="C297" s="2">
        <v>260.45</v>
      </c>
      <c r="D297" s="2">
        <v>263.11</v>
      </c>
      <c r="E297" s="2">
        <v>260.24</v>
      </c>
      <c r="F297" s="2">
        <v>262.72000000000003</v>
      </c>
      <c r="G297" s="1">
        <v>90396808</v>
      </c>
      <c r="H297" s="8">
        <f t="shared" si="8"/>
        <v>259.9975</v>
      </c>
      <c r="I297" s="19">
        <f t="shared" si="9"/>
        <v>262.64600000000007</v>
      </c>
      <c r="J297" s="8">
        <f>testdata[[#This Row],[SMA(20)]]+0.025*testdata[[#This Row],[SMA(20)]]</f>
        <v>266.49743749999999</v>
      </c>
      <c r="K297" s="8">
        <f>testdata[[#This Row],[SMA(20)]]-0.025*testdata[[#This Row],[SMA(20)]]</f>
        <v>253.49756250000002</v>
      </c>
      <c r="L297" s="16">
        <f>testdata[[#This Row],[close]]-testdata[[#This Row],[SMA(TW)]]</f>
        <v>7.3999999999955435E-2</v>
      </c>
      <c r="M297"/>
    </row>
    <row r="298" spans="1:13" x14ac:dyDescent="0.25">
      <c r="A298" s="6">
        <v>297</v>
      </c>
      <c r="B298" s="3">
        <v>43167</v>
      </c>
      <c r="C298" s="2">
        <v>263.45999999999998</v>
      </c>
      <c r="D298" s="2">
        <v>264.13</v>
      </c>
      <c r="E298" s="2">
        <v>262.37</v>
      </c>
      <c r="F298" s="2">
        <v>263.99</v>
      </c>
      <c r="G298" s="1">
        <v>69462520</v>
      </c>
      <c r="H298" s="8">
        <f t="shared" si="8"/>
        <v>260.30699999999996</v>
      </c>
      <c r="I298" s="19">
        <f t="shared" si="9"/>
        <v>262.23250000000007</v>
      </c>
      <c r="J298" s="8">
        <f>testdata[[#This Row],[SMA(20)]]+0.025*testdata[[#This Row],[SMA(20)]]</f>
        <v>266.81467499999997</v>
      </c>
      <c r="K298" s="8">
        <f>testdata[[#This Row],[SMA(20)]]-0.025*testdata[[#This Row],[SMA(20)]]</f>
        <v>253.79932499999995</v>
      </c>
      <c r="L298" s="16">
        <f>testdata[[#This Row],[close]]-testdata[[#This Row],[SMA(TW)]]</f>
        <v>1.7574999999999363</v>
      </c>
      <c r="M298"/>
    </row>
    <row r="299" spans="1:13" x14ac:dyDescent="0.25">
      <c r="A299" s="6">
        <v>298</v>
      </c>
      <c r="B299" s="3">
        <v>43168</v>
      </c>
      <c r="C299" s="2">
        <v>265.52999999999997</v>
      </c>
      <c r="D299" s="2">
        <v>268.58999999999997</v>
      </c>
      <c r="E299" s="2">
        <v>265.19</v>
      </c>
      <c r="F299" s="2">
        <v>268.58999999999997</v>
      </c>
      <c r="G299" s="1">
        <v>117975584</v>
      </c>
      <c r="H299" s="8">
        <f t="shared" si="8"/>
        <v>261.33</v>
      </c>
      <c r="I299" s="19">
        <f t="shared" si="9"/>
        <v>261.81450000000007</v>
      </c>
      <c r="J299" s="8">
        <f>testdata[[#This Row],[SMA(20)]]+0.025*testdata[[#This Row],[SMA(20)]]</f>
        <v>267.86324999999999</v>
      </c>
      <c r="K299" s="8">
        <f>testdata[[#This Row],[SMA(20)]]-0.025*testdata[[#This Row],[SMA(20)]]</f>
        <v>254.79674999999997</v>
      </c>
      <c r="L299" s="16">
        <f>testdata[[#This Row],[close]]-testdata[[#This Row],[SMA(TW)]]</f>
        <v>6.7754999999999086</v>
      </c>
      <c r="M299"/>
    </row>
    <row r="300" spans="1:13" x14ac:dyDescent="0.25">
      <c r="A300" s="6">
        <v>299</v>
      </c>
      <c r="B300" s="3">
        <v>43171</v>
      </c>
      <c r="C300" s="2">
        <v>268.89999999999998</v>
      </c>
      <c r="D300" s="2">
        <v>269.58999999999997</v>
      </c>
      <c r="E300" s="2">
        <v>267.83</v>
      </c>
      <c r="F300" s="2">
        <v>268.25</v>
      </c>
      <c r="G300" s="1">
        <v>74678496</v>
      </c>
      <c r="H300" s="8">
        <f t="shared" si="8"/>
        <v>262.14949999999999</v>
      </c>
      <c r="I300" s="19">
        <f t="shared" si="9"/>
        <v>261.32100000000003</v>
      </c>
      <c r="J300" s="8">
        <f>testdata[[#This Row],[SMA(20)]]+0.025*testdata[[#This Row],[SMA(20)]]</f>
        <v>268.7032375</v>
      </c>
      <c r="K300" s="8">
        <f>testdata[[#This Row],[SMA(20)]]-0.025*testdata[[#This Row],[SMA(20)]]</f>
        <v>255.59576249999998</v>
      </c>
      <c r="L300" s="16">
        <f>testdata[[#This Row],[close]]-testdata[[#This Row],[SMA(TW)]]</f>
        <v>6.9289999999999736</v>
      </c>
      <c r="M300"/>
    </row>
    <row r="301" spans="1:13" x14ac:dyDescent="0.25">
      <c r="A301" s="6">
        <v>300</v>
      </c>
      <c r="B301" s="3">
        <v>43172</v>
      </c>
      <c r="C301" s="2">
        <v>269.52</v>
      </c>
      <c r="D301" s="2">
        <v>270.07</v>
      </c>
      <c r="E301" s="2">
        <v>265.85000000000002</v>
      </c>
      <c r="F301" s="2">
        <v>266.52</v>
      </c>
      <c r="G301" s="1">
        <v>95490048</v>
      </c>
      <c r="H301" s="8">
        <f t="shared" si="8"/>
        <v>262.69750000000005</v>
      </c>
      <c r="I301" s="19">
        <f t="shared" si="9"/>
        <v>260.834</v>
      </c>
      <c r="J301" s="8">
        <f>testdata[[#This Row],[SMA(20)]]+0.025*testdata[[#This Row],[SMA(20)]]</f>
        <v>269.26493750000003</v>
      </c>
      <c r="K301" s="8">
        <f>testdata[[#This Row],[SMA(20)]]-0.025*testdata[[#This Row],[SMA(20)]]</f>
        <v>256.13006250000007</v>
      </c>
      <c r="L301" s="16">
        <f>testdata[[#This Row],[close]]-testdata[[#This Row],[SMA(TW)]]</f>
        <v>5.6859999999999786</v>
      </c>
      <c r="M301"/>
    </row>
    <row r="302" spans="1:13" x14ac:dyDescent="0.25">
      <c r="A302" s="6">
        <v>301</v>
      </c>
      <c r="B302" s="3">
        <v>43173</v>
      </c>
      <c r="C302" s="2">
        <v>267.57</v>
      </c>
      <c r="D302" s="2">
        <v>267.77</v>
      </c>
      <c r="E302" s="2">
        <v>264.54000000000002</v>
      </c>
      <c r="F302" s="2">
        <v>265.14999999999998</v>
      </c>
      <c r="G302" s="1">
        <v>109949368</v>
      </c>
      <c r="H302" s="8">
        <f t="shared" si="8"/>
        <v>263.14549999999997</v>
      </c>
      <c r="I302" s="19">
        <f t="shared" si="9"/>
        <v>260.14999999999998</v>
      </c>
      <c r="J302" s="8">
        <f>testdata[[#This Row],[SMA(20)]]+0.025*testdata[[#This Row],[SMA(20)]]</f>
        <v>269.72413749999998</v>
      </c>
      <c r="K302" s="8">
        <f>testdata[[#This Row],[SMA(20)]]-0.025*testdata[[#This Row],[SMA(20)]]</f>
        <v>256.56686249999996</v>
      </c>
      <c r="L302" s="16">
        <f>testdata[[#This Row],[close]]-testdata[[#This Row],[SMA(TW)]]</f>
        <v>5</v>
      </c>
      <c r="M302"/>
    </row>
    <row r="303" spans="1:13" x14ac:dyDescent="0.25">
      <c r="A303" s="6">
        <v>302</v>
      </c>
      <c r="B303" s="3">
        <v>43174</v>
      </c>
      <c r="C303" s="2">
        <v>265.70999999999998</v>
      </c>
      <c r="D303" s="2">
        <v>266.41000000000003</v>
      </c>
      <c r="E303" s="2">
        <v>264.31</v>
      </c>
      <c r="F303" s="2">
        <v>264.86</v>
      </c>
      <c r="G303" s="1">
        <v>86627344</v>
      </c>
      <c r="H303" s="8">
        <f t="shared" si="8"/>
        <v>263.40600000000001</v>
      </c>
      <c r="I303" s="19">
        <f t="shared" si="9"/>
        <v>259.548</v>
      </c>
      <c r="J303" s="8">
        <f>testdata[[#This Row],[SMA(20)]]+0.025*testdata[[#This Row],[SMA(20)]]</f>
        <v>269.99115</v>
      </c>
      <c r="K303" s="8">
        <f>testdata[[#This Row],[SMA(20)]]-0.025*testdata[[#This Row],[SMA(20)]]</f>
        <v>256.82085000000001</v>
      </c>
      <c r="L303" s="16">
        <f>testdata[[#This Row],[close]]-testdata[[#This Row],[SMA(TW)]]</f>
        <v>5.3120000000000118</v>
      </c>
      <c r="M303"/>
    </row>
    <row r="304" spans="1:13" x14ac:dyDescent="0.25">
      <c r="A304" s="6">
        <v>303</v>
      </c>
      <c r="B304" s="3">
        <v>43175</v>
      </c>
      <c r="C304" s="2">
        <v>265.44</v>
      </c>
      <c r="D304" s="2">
        <v>266.3</v>
      </c>
      <c r="E304" s="2">
        <v>265.08999999999997</v>
      </c>
      <c r="F304" s="2">
        <v>265.14999999999998</v>
      </c>
      <c r="G304" s="1">
        <v>103769888</v>
      </c>
      <c r="H304" s="8">
        <f t="shared" si="8"/>
        <v>263.51549999999992</v>
      </c>
      <c r="I304" s="19">
        <f t="shared" si="9"/>
        <v>259.39099999999996</v>
      </c>
      <c r="J304" s="8">
        <f>testdata[[#This Row],[SMA(20)]]+0.025*testdata[[#This Row],[SMA(20)]]</f>
        <v>270.10338749999994</v>
      </c>
      <c r="K304" s="8">
        <f>testdata[[#This Row],[SMA(20)]]-0.025*testdata[[#This Row],[SMA(20)]]</f>
        <v>256.9276124999999</v>
      </c>
      <c r="L304" s="16">
        <f>testdata[[#This Row],[close]]-testdata[[#This Row],[SMA(TW)]]</f>
        <v>5.7590000000000146</v>
      </c>
      <c r="M304"/>
    </row>
    <row r="305" spans="1:13" x14ac:dyDescent="0.25">
      <c r="A305" s="6">
        <v>304</v>
      </c>
      <c r="B305" s="3">
        <v>43178</v>
      </c>
      <c r="C305" s="2">
        <v>264.32</v>
      </c>
      <c r="D305" s="2">
        <v>265.33999999999997</v>
      </c>
      <c r="E305" s="2">
        <v>259.75</v>
      </c>
      <c r="F305" s="2">
        <v>261.56</v>
      </c>
      <c r="G305" s="1">
        <v>112937344</v>
      </c>
      <c r="H305" s="8">
        <f t="shared" si="8"/>
        <v>263.44150000000002</v>
      </c>
      <c r="I305" s="19">
        <f t="shared" si="9"/>
        <v>259.82199999999995</v>
      </c>
      <c r="J305" s="8">
        <f>testdata[[#This Row],[SMA(20)]]+0.025*testdata[[#This Row],[SMA(20)]]</f>
        <v>270.02753749999999</v>
      </c>
      <c r="K305" s="8">
        <f>testdata[[#This Row],[SMA(20)]]-0.025*testdata[[#This Row],[SMA(20)]]</f>
        <v>256.85546250000004</v>
      </c>
      <c r="L305" s="16">
        <f>testdata[[#This Row],[close]]-testdata[[#This Row],[SMA(TW)]]</f>
        <v>1.7380000000000564</v>
      </c>
      <c r="M305"/>
    </row>
    <row r="306" spans="1:13" x14ac:dyDescent="0.25">
      <c r="A306" s="6">
        <v>305</v>
      </c>
      <c r="B306" s="3">
        <v>43179</v>
      </c>
      <c r="C306" s="2">
        <v>261.99</v>
      </c>
      <c r="D306" s="2">
        <v>262.7</v>
      </c>
      <c r="E306" s="2">
        <v>261.26</v>
      </c>
      <c r="F306" s="2">
        <v>262</v>
      </c>
      <c r="G306" s="1">
        <v>61797672</v>
      </c>
      <c r="H306" s="8">
        <f t="shared" si="8"/>
        <v>263.47199999999998</v>
      </c>
      <c r="I306" s="19">
        <f t="shared" si="9"/>
        <v>259.9975</v>
      </c>
      <c r="J306" s="8">
        <f>testdata[[#This Row],[SMA(20)]]+0.025*testdata[[#This Row],[SMA(20)]]</f>
        <v>270.05879999999996</v>
      </c>
      <c r="K306" s="8">
        <f>testdata[[#This Row],[SMA(20)]]-0.025*testdata[[#This Row],[SMA(20)]]</f>
        <v>256.8852</v>
      </c>
      <c r="L306" s="16">
        <f>testdata[[#This Row],[close]]-testdata[[#This Row],[SMA(TW)]]</f>
        <v>2.0024999999999977</v>
      </c>
      <c r="M306"/>
    </row>
    <row r="307" spans="1:13" x14ac:dyDescent="0.25">
      <c r="A307" s="6">
        <v>306</v>
      </c>
      <c r="B307" s="3">
        <v>43180</v>
      </c>
      <c r="C307" s="2">
        <v>261.95999999999998</v>
      </c>
      <c r="D307" s="2">
        <v>264.25</v>
      </c>
      <c r="E307" s="2">
        <v>261.27</v>
      </c>
      <c r="F307" s="2">
        <v>261.5</v>
      </c>
      <c r="G307" s="1">
        <v>81397104</v>
      </c>
      <c r="H307" s="8">
        <f t="shared" si="8"/>
        <v>263.54249999999996</v>
      </c>
      <c r="I307" s="19">
        <f t="shared" si="9"/>
        <v>260.30699999999996</v>
      </c>
      <c r="J307" s="8">
        <f>testdata[[#This Row],[SMA(20)]]+0.025*testdata[[#This Row],[SMA(20)]]</f>
        <v>270.13106249999998</v>
      </c>
      <c r="K307" s="8">
        <f>testdata[[#This Row],[SMA(20)]]-0.025*testdata[[#This Row],[SMA(20)]]</f>
        <v>256.95393749999994</v>
      </c>
      <c r="L307" s="16">
        <f>testdata[[#This Row],[close]]-testdata[[#This Row],[SMA(TW)]]</f>
        <v>1.1930000000000405</v>
      </c>
      <c r="M307"/>
    </row>
    <row r="308" spans="1:13" x14ac:dyDescent="0.25">
      <c r="A308" s="6">
        <v>307</v>
      </c>
      <c r="B308" s="3">
        <v>43181</v>
      </c>
      <c r="C308" s="2">
        <v>259.06</v>
      </c>
      <c r="D308" s="2">
        <v>259.99</v>
      </c>
      <c r="E308" s="2">
        <v>254.66</v>
      </c>
      <c r="F308" s="2">
        <v>254.96</v>
      </c>
      <c r="G308" s="1">
        <v>153866192</v>
      </c>
      <c r="H308" s="8">
        <f t="shared" si="8"/>
        <v>263.26900000000006</v>
      </c>
      <c r="I308" s="19">
        <f t="shared" si="9"/>
        <v>261.33</v>
      </c>
      <c r="J308" s="8">
        <f>testdata[[#This Row],[SMA(20)]]+0.025*testdata[[#This Row],[SMA(20)]]</f>
        <v>269.85072500000007</v>
      </c>
      <c r="K308" s="8">
        <f>testdata[[#This Row],[SMA(20)]]-0.025*testdata[[#This Row],[SMA(20)]]</f>
        <v>256.68727500000006</v>
      </c>
      <c r="L308" s="16">
        <f>testdata[[#This Row],[close]]-testdata[[#This Row],[SMA(TW)]]</f>
        <v>-6.3699999999999761</v>
      </c>
      <c r="M308"/>
    </row>
    <row r="309" spans="1:13" x14ac:dyDescent="0.25">
      <c r="A309" s="6">
        <v>308</v>
      </c>
      <c r="B309" s="3">
        <v>43182</v>
      </c>
      <c r="C309" s="2">
        <v>255.45</v>
      </c>
      <c r="D309" s="2">
        <v>256.27</v>
      </c>
      <c r="E309" s="2">
        <v>249.32</v>
      </c>
      <c r="F309" s="2">
        <v>249.53</v>
      </c>
      <c r="G309" s="1">
        <v>189801520</v>
      </c>
      <c r="H309" s="8">
        <f t="shared" si="8"/>
        <v>262.51650000000006</v>
      </c>
      <c r="I309" s="19">
        <f t="shared" si="9"/>
        <v>262.14949999999999</v>
      </c>
      <c r="J309" s="8">
        <f>testdata[[#This Row],[SMA(20)]]+0.025*testdata[[#This Row],[SMA(20)]]</f>
        <v>269.07941250000005</v>
      </c>
      <c r="K309" s="8">
        <f>testdata[[#This Row],[SMA(20)]]-0.025*testdata[[#This Row],[SMA(20)]]</f>
        <v>255.95358750000005</v>
      </c>
      <c r="L309" s="16">
        <f>testdata[[#This Row],[close]]-testdata[[#This Row],[SMA(TW)]]</f>
        <v>-12.619499999999988</v>
      </c>
      <c r="M309"/>
    </row>
    <row r="310" spans="1:13" x14ac:dyDescent="0.25">
      <c r="A310" s="6">
        <v>309</v>
      </c>
      <c r="B310" s="3">
        <v>43185</v>
      </c>
      <c r="C310" s="2">
        <v>253.48</v>
      </c>
      <c r="D310" s="2">
        <v>256.67</v>
      </c>
      <c r="E310" s="2">
        <v>250.84</v>
      </c>
      <c r="F310" s="2">
        <v>256.36</v>
      </c>
      <c r="G310" s="1">
        <v>146803168</v>
      </c>
      <c r="H310" s="8">
        <f t="shared" si="8"/>
        <v>261.952</v>
      </c>
      <c r="I310" s="19">
        <f t="shared" si="9"/>
        <v>262.69750000000005</v>
      </c>
      <c r="J310" s="8">
        <f>testdata[[#This Row],[SMA(20)]]+0.025*testdata[[#This Row],[SMA(20)]]</f>
        <v>268.50080000000003</v>
      </c>
      <c r="K310" s="8">
        <f>testdata[[#This Row],[SMA(20)]]-0.025*testdata[[#This Row],[SMA(20)]]</f>
        <v>255.4032</v>
      </c>
      <c r="L310" s="16">
        <f>testdata[[#This Row],[close]]-testdata[[#This Row],[SMA(TW)]]</f>
        <v>-6.3375000000000341</v>
      </c>
      <c r="M310"/>
    </row>
    <row r="311" spans="1:13" x14ac:dyDescent="0.25">
      <c r="A311" s="6">
        <v>310</v>
      </c>
      <c r="B311" s="3">
        <v>43186</v>
      </c>
      <c r="C311" s="2">
        <v>257.38</v>
      </c>
      <c r="D311" s="2">
        <v>257.95999999999998</v>
      </c>
      <c r="E311" s="2">
        <v>250.29</v>
      </c>
      <c r="F311" s="2">
        <v>252</v>
      </c>
      <c r="G311" s="1">
        <v>134378272</v>
      </c>
      <c r="H311" s="8">
        <f t="shared" si="8"/>
        <v>261.3365</v>
      </c>
      <c r="I311" s="19">
        <f t="shared" si="9"/>
        <v>263.14549999999997</v>
      </c>
      <c r="J311" s="8">
        <f>testdata[[#This Row],[SMA(20)]]+0.025*testdata[[#This Row],[SMA(20)]]</f>
        <v>267.8699125</v>
      </c>
      <c r="K311" s="8">
        <f>testdata[[#This Row],[SMA(20)]]-0.025*testdata[[#This Row],[SMA(20)]]</f>
        <v>254.8030875</v>
      </c>
      <c r="L311" s="16">
        <f>testdata[[#This Row],[close]]-testdata[[#This Row],[SMA(TW)]]</f>
        <v>-11.14549999999997</v>
      </c>
      <c r="M311"/>
    </row>
    <row r="312" spans="1:13" x14ac:dyDescent="0.25">
      <c r="A312" s="6">
        <v>311</v>
      </c>
      <c r="B312" s="3">
        <v>43187</v>
      </c>
      <c r="C312" s="2">
        <v>252.14</v>
      </c>
      <c r="D312" s="2">
        <v>253.97</v>
      </c>
      <c r="E312" s="2">
        <v>250.04</v>
      </c>
      <c r="F312" s="2">
        <v>251.25</v>
      </c>
      <c r="G312" s="1">
        <v>151452896</v>
      </c>
      <c r="H312" s="8">
        <f t="shared" si="8"/>
        <v>260.8175</v>
      </c>
      <c r="I312" s="19">
        <f t="shared" si="9"/>
        <v>263.40600000000001</v>
      </c>
      <c r="J312" s="8">
        <f>testdata[[#This Row],[SMA(20)]]+0.025*testdata[[#This Row],[SMA(20)]]</f>
        <v>267.33793750000001</v>
      </c>
      <c r="K312" s="8">
        <f>testdata[[#This Row],[SMA(20)]]-0.025*testdata[[#This Row],[SMA(20)]]</f>
        <v>254.29706249999998</v>
      </c>
      <c r="L312" s="16">
        <f>testdata[[#This Row],[close]]-testdata[[#This Row],[SMA(TW)]]</f>
        <v>-12.156000000000006</v>
      </c>
      <c r="M312"/>
    </row>
    <row r="313" spans="1:13" x14ac:dyDescent="0.25">
      <c r="A313" s="6">
        <v>312</v>
      </c>
      <c r="B313" s="3">
        <v>43188</v>
      </c>
      <c r="C313" s="2">
        <v>252.5</v>
      </c>
      <c r="D313" s="2">
        <v>256.5</v>
      </c>
      <c r="E313" s="2">
        <v>251.26</v>
      </c>
      <c r="F313" s="2">
        <v>254.46</v>
      </c>
      <c r="G313" s="1">
        <v>128487112</v>
      </c>
      <c r="H313" s="8">
        <f t="shared" si="8"/>
        <v>260.649</v>
      </c>
      <c r="I313" s="19">
        <f t="shared" si="9"/>
        <v>263.51549999999992</v>
      </c>
      <c r="J313" s="8">
        <f>testdata[[#This Row],[SMA(20)]]+0.025*testdata[[#This Row],[SMA(20)]]</f>
        <v>267.16522500000002</v>
      </c>
      <c r="K313" s="8">
        <f>testdata[[#This Row],[SMA(20)]]-0.025*testdata[[#This Row],[SMA(20)]]</f>
        <v>254.13277500000001</v>
      </c>
      <c r="L313" s="16">
        <f>testdata[[#This Row],[close]]-testdata[[#This Row],[SMA(TW)]]</f>
        <v>-9.0554999999999097</v>
      </c>
      <c r="M313"/>
    </row>
    <row r="314" spans="1:13" x14ac:dyDescent="0.25">
      <c r="A314" s="6">
        <v>313</v>
      </c>
      <c r="B314" s="3">
        <v>43192</v>
      </c>
      <c r="C314" s="2">
        <v>253.88</v>
      </c>
      <c r="D314" s="2">
        <v>254.44</v>
      </c>
      <c r="E314" s="2">
        <v>246.26</v>
      </c>
      <c r="F314" s="2">
        <v>248.97</v>
      </c>
      <c r="G314" s="1">
        <v>192647056</v>
      </c>
      <c r="H314" s="8">
        <f t="shared" si="8"/>
        <v>260.13950000000006</v>
      </c>
      <c r="I314" s="19">
        <f t="shared" si="9"/>
        <v>263.44150000000002</v>
      </c>
      <c r="J314" s="8">
        <f>testdata[[#This Row],[SMA(20)]]+0.025*testdata[[#This Row],[SMA(20)]]</f>
        <v>266.64298750000006</v>
      </c>
      <c r="K314" s="8">
        <f>testdata[[#This Row],[SMA(20)]]-0.025*testdata[[#This Row],[SMA(20)]]</f>
        <v>253.63601250000005</v>
      </c>
      <c r="L314" s="16">
        <f>testdata[[#This Row],[close]]-testdata[[#This Row],[SMA(TW)]]</f>
        <v>-14.47150000000002</v>
      </c>
      <c r="M314"/>
    </row>
    <row r="315" spans="1:13" x14ac:dyDescent="0.25">
      <c r="A315" s="6">
        <v>314</v>
      </c>
      <c r="B315" s="3">
        <v>43193</v>
      </c>
      <c r="C315" s="2">
        <v>250.32</v>
      </c>
      <c r="D315" s="2">
        <v>252.68</v>
      </c>
      <c r="E315" s="2">
        <v>248.36</v>
      </c>
      <c r="F315" s="2">
        <v>252.16</v>
      </c>
      <c r="G315" s="1">
        <v>124052768</v>
      </c>
      <c r="H315" s="8">
        <f t="shared" si="8"/>
        <v>259.64000000000004</v>
      </c>
      <c r="I315" s="19">
        <f t="shared" si="9"/>
        <v>263.47199999999998</v>
      </c>
      <c r="J315" s="8">
        <f>testdata[[#This Row],[SMA(20)]]+0.025*testdata[[#This Row],[SMA(20)]]</f>
        <v>266.13100000000003</v>
      </c>
      <c r="K315" s="8">
        <f>testdata[[#This Row],[SMA(20)]]-0.025*testdata[[#This Row],[SMA(20)]]</f>
        <v>253.14900000000003</v>
      </c>
      <c r="L315" s="16">
        <f>testdata[[#This Row],[close]]-testdata[[#This Row],[SMA(TW)]]</f>
        <v>-11.311999999999983</v>
      </c>
      <c r="M315"/>
    </row>
    <row r="316" spans="1:13" x14ac:dyDescent="0.25">
      <c r="A316" s="6">
        <v>315</v>
      </c>
      <c r="B316" s="3">
        <v>43194</v>
      </c>
      <c r="C316" s="2">
        <v>248.27</v>
      </c>
      <c r="D316" s="2">
        <v>255.63</v>
      </c>
      <c r="E316" s="2">
        <v>248.13</v>
      </c>
      <c r="F316" s="2">
        <v>254.86</v>
      </c>
      <c r="G316" s="1">
        <v>127939576</v>
      </c>
      <c r="H316" s="8">
        <f t="shared" si="8"/>
        <v>259.24200000000002</v>
      </c>
      <c r="I316" s="19">
        <f t="shared" si="9"/>
        <v>263.54249999999996</v>
      </c>
      <c r="J316" s="8">
        <f>testdata[[#This Row],[SMA(20)]]+0.025*testdata[[#This Row],[SMA(20)]]</f>
        <v>265.72305</v>
      </c>
      <c r="K316" s="8">
        <f>testdata[[#This Row],[SMA(20)]]-0.025*testdata[[#This Row],[SMA(20)]]</f>
        <v>252.76095000000001</v>
      </c>
      <c r="L316" s="16">
        <f>testdata[[#This Row],[close]]-testdata[[#This Row],[SMA(TW)]]</f>
        <v>-8.6824999999999477</v>
      </c>
      <c r="M316"/>
    </row>
    <row r="317" spans="1:13" x14ac:dyDescent="0.25">
      <c r="A317" s="6">
        <v>316</v>
      </c>
      <c r="B317" s="3">
        <v>43195</v>
      </c>
      <c r="C317" s="2">
        <v>256.77999999999997</v>
      </c>
      <c r="D317" s="2">
        <v>257.83999999999997</v>
      </c>
      <c r="E317" s="2">
        <v>255.59</v>
      </c>
      <c r="F317" s="2">
        <v>256.87</v>
      </c>
      <c r="G317" s="1">
        <v>85474776</v>
      </c>
      <c r="H317" s="8">
        <f t="shared" si="8"/>
        <v>258.9495</v>
      </c>
      <c r="I317" s="19">
        <f t="shared" si="9"/>
        <v>263.26900000000006</v>
      </c>
      <c r="J317" s="8">
        <f>testdata[[#This Row],[SMA(20)]]+0.025*testdata[[#This Row],[SMA(20)]]</f>
        <v>265.42323750000003</v>
      </c>
      <c r="K317" s="8">
        <f>testdata[[#This Row],[SMA(20)]]-0.025*testdata[[#This Row],[SMA(20)]]</f>
        <v>252.4757625</v>
      </c>
      <c r="L317" s="16">
        <f>testdata[[#This Row],[close]]-testdata[[#This Row],[SMA(TW)]]</f>
        <v>-6.3990000000000578</v>
      </c>
      <c r="M317"/>
    </row>
    <row r="318" spans="1:13" x14ac:dyDescent="0.25">
      <c r="A318" s="6">
        <v>317</v>
      </c>
      <c r="B318" s="3">
        <v>43196</v>
      </c>
      <c r="C318" s="2">
        <v>254.72</v>
      </c>
      <c r="D318" s="2">
        <v>256.36</v>
      </c>
      <c r="E318" s="2">
        <v>249.48</v>
      </c>
      <c r="F318" s="2">
        <v>251.14</v>
      </c>
      <c r="G318" s="1">
        <v>185650928</v>
      </c>
      <c r="H318" s="8">
        <f t="shared" si="8"/>
        <v>258.30700000000002</v>
      </c>
      <c r="I318" s="19">
        <f t="shared" si="9"/>
        <v>262.51650000000006</v>
      </c>
      <c r="J318" s="8">
        <f>testdata[[#This Row],[SMA(20)]]+0.025*testdata[[#This Row],[SMA(20)]]</f>
        <v>264.76467500000001</v>
      </c>
      <c r="K318" s="8">
        <f>testdata[[#This Row],[SMA(20)]]-0.025*testdata[[#This Row],[SMA(20)]]</f>
        <v>251.84932500000002</v>
      </c>
      <c r="L318" s="16">
        <f>testdata[[#This Row],[close]]-testdata[[#This Row],[SMA(TW)]]</f>
        <v>-11.376500000000078</v>
      </c>
      <c r="M318"/>
    </row>
    <row r="319" spans="1:13" x14ac:dyDescent="0.25">
      <c r="A319" s="6">
        <v>318</v>
      </c>
      <c r="B319" s="3">
        <v>43199</v>
      </c>
      <c r="C319" s="2">
        <v>252.74</v>
      </c>
      <c r="D319" s="2">
        <v>256.10000000000002</v>
      </c>
      <c r="E319" s="2">
        <v>251.35</v>
      </c>
      <c r="F319" s="2">
        <v>252.38</v>
      </c>
      <c r="G319" s="1">
        <v>109043264</v>
      </c>
      <c r="H319" s="8">
        <f t="shared" si="8"/>
        <v>257.49650000000003</v>
      </c>
      <c r="I319" s="19">
        <f t="shared" si="9"/>
        <v>261.952</v>
      </c>
      <c r="J319" s="8">
        <f>testdata[[#This Row],[SMA(20)]]+0.025*testdata[[#This Row],[SMA(20)]]</f>
        <v>263.93391250000002</v>
      </c>
      <c r="K319" s="8">
        <f>testdata[[#This Row],[SMA(20)]]-0.025*testdata[[#This Row],[SMA(20)]]</f>
        <v>251.05908750000003</v>
      </c>
      <c r="L319" s="16">
        <f>testdata[[#This Row],[close]]-testdata[[#This Row],[SMA(TW)]]</f>
        <v>-9.5720000000000027</v>
      </c>
      <c r="M319"/>
    </row>
    <row r="320" spans="1:13" x14ac:dyDescent="0.25">
      <c r="A320" s="6">
        <v>319</v>
      </c>
      <c r="B320" s="3">
        <v>43200</v>
      </c>
      <c r="C320" s="2">
        <v>255.54</v>
      </c>
      <c r="D320" s="2">
        <v>257.26</v>
      </c>
      <c r="E320" s="2">
        <v>254.3</v>
      </c>
      <c r="F320" s="2">
        <v>256.39999999999998</v>
      </c>
      <c r="G320" s="1">
        <v>109178536</v>
      </c>
      <c r="H320" s="8">
        <f t="shared" si="8"/>
        <v>256.904</v>
      </c>
      <c r="I320" s="19">
        <f t="shared" si="9"/>
        <v>261.3365</v>
      </c>
      <c r="J320" s="8">
        <f>testdata[[#This Row],[SMA(20)]]+0.025*testdata[[#This Row],[SMA(20)]]</f>
        <v>263.32659999999998</v>
      </c>
      <c r="K320" s="8">
        <f>testdata[[#This Row],[SMA(20)]]-0.025*testdata[[#This Row],[SMA(20)]]</f>
        <v>250.48140000000001</v>
      </c>
      <c r="L320" s="16">
        <f>testdata[[#This Row],[close]]-testdata[[#This Row],[SMA(TW)]]</f>
        <v>-4.9365000000000236</v>
      </c>
      <c r="M320"/>
    </row>
    <row r="321" spans="1:13" x14ac:dyDescent="0.25">
      <c r="A321" s="6">
        <v>320</v>
      </c>
      <c r="B321" s="3">
        <v>43201</v>
      </c>
      <c r="C321" s="2">
        <v>254.77</v>
      </c>
      <c r="D321" s="2">
        <v>256.87</v>
      </c>
      <c r="E321" s="2">
        <v>254.69</v>
      </c>
      <c r="F321" s="2">
        <v>255.05</v>
      </c>
      <c r="G321" s="1">
        <v>94252208</v>
      </c>
      <c r="H321" s="8">
        <f t="shared" si="8"/>
        <v>256.33050000000003</v>
      </c>
      <c r="I321" s="19">
        <f t="shared" si="9"/>
        <v>260.8175</v>
      </c>
      <c r="J321" s="8">
        <f>testdata[[#This Row],[SMA(20)]]+0.025*testdata[[#This Row],[SMA(20)]]</f>
        <v>262.73876250000001</v>
      </c>
      <c r="K321" s="8">
        <f>testdata[[#This Row],[SMA(20)]]-0.025*testdata[[#This Row],[SMA(20)]]</f>
        <v>249.92223750000002</v>
      </c>
      <c r="L321" s="16">
        <f>testdata[[#This Row],[close]]-testdata[[#This Row],[SMA(TW)]]</f>
        <v>-5.7674999999999841</v>
      </c>
      <c r="M321"/>
    </row>
    <row r="322" spans="1:13" x14ac:dyDescent="0.25">
      <c r="A322" s="6">
        <v>321</v>
      </c>
      <c r="B322" s="3">
        <v>43202</v>
      </c>
      <c r="C322" s="2">
        <v>256.5</v>
      </c>
      <c r="D322" s="2">
        <v>258.18</v>
      </c>
      <c r="E322" s="2">
        <v>256.31</v>
      </c>
      <c r="F322" s="2">
        <v>257.14999999999998</v>
      </c>
      <c r="G322" s="1">
        <v>71242736</v>
      </c>
      <c r="H322" s="8">
        <f t="shared" si="8"/>
        <v>255.93049999999999</v>
      </c>
      <c r="I322" s="19">
        <f t="shared" si="9"/>
        <v>260.649</v>
      </c>
      <c r="J322" s="8">
        <f>testdata[[#This Row],[SMA(20)]]+0.025*testdata[[#This Row],[SMA(20)]]</f>
        <v>262.32876249999998</v>
      </c>
      <c r="K322" s="8">
        <f>testdata[[#This Row],[SMA(20)]]-0.025*testdata[[#This Row],[SMA(20)]]</f>
        <v>249.53223750000001</v>
      </c>
      <c r="L322" s="16">
        <f>testdata[[#This Row],[close]]-testdata[[#This Row],[SMA(TW)]]</f>
        <v>-3.4990000000000236</v>
      </c>
      <c r="M322"/>
    </row>
    <row r="323" spans="1:13" x14ac:dyDescent="0.25">
      <c r="A323" s="6">
        <v>322</v>
      </c>
      <c r="B323" s="3">
        <v>43203</v>
      </c>
      <c r="C323" s="2">
        <v>258.58</v>
      </c>
      <c r="D323" s="2">
        <v>258.70999999999998</v>
      </c>
      <c r="E323" s="2">
        <v>255.29</v>
      </c>
      <c r="F323" s="2">
        <v>256.39999999999998</v>
      </c>
      <c r="G323" s="1">
        <v>87984192</v>
      </c>
      <c r="H323" s="8">
        <f t="shared" si="8"/>
        <v>255.50749999999994</v>
      </c>
      <c r="I323" s="19">
        <f t="shared" si="9"/>
        <v>260.13950000000006</v>
      </c>
      <c r="J323" s="8">
        <f>testdata[[#This Row],[SMA(20)]]+0.025*testdata[[#This Row],[SMA(20)]]</f>
        <v>261.89518749999991</v>
      </c>
      <c r="K323" s="8">
        <f>testdata[[#This Row],[SMA(20)]]-0.025*testdata[[#This Row],[SMA(20)]]</f>
        <v>249.11981249999994</v>
      </c>
      <c r="L323" s="16">
        <f>testdata[[#This Row],[close]]-testdata[[#This Row],[SMA(TW)]]</f>
        <v>-3.7395000000000778</v>
      </c>
      <c r="M323"/>
    </row>
    <row r="324" spans="1:13" x14ac:dyDescent="0.25">
      <c r="A324" s="6">
        <v>323</v>
      </c>
      <c r="B324" s="3">
        <v>43206</v>
      </c>
      <c r="C324" s="2">
        <v>258.18</v>
      </c>
      <c r="D324" s="2">
        <v>259.33999999999997</v>
      </c>
      <c r="E324" s="2">
        <v>257.29000000000002</v>
      </c>
      <c r="F324" s="2">
        <v>258.5</v>
      </c>
      <c r="G324" s="1">
        <v>65570252</v>
      </c>
      <c r="H324" s="8">
        <f t="shared" si="8"/>
        <v>255.17499999999995</v>
      </c>
      <c r="I324" s="19">
        <f t="shared" si="9"/>
        <v>259.64000000000004</v>
      </c>
      <c r="J324" s="8">
        <f>testdata[[#This Row],[SMA(20)]]+0.025*testdata[[#This Row],[SMA(20)]]</f>
        <v>261.55437499999994</v>
      </c>
      <c r="K324" s="8">
        <f>testdata[[#This Row],[SMA(20)]]-0.025*testdata[[#This Row],[SMA(20)]]</f>
        <v>248.79562499999994</v>
      </c>
      <c r="L324" s="16">
        <f>testdata[[#This Row],[close]]-testdata[[#This Row],[SMA(TW)]]</f>
        <v>-1.1400000000000432</v>
      </c>
      <c r="M324"/>
    </row>
    <row r="325" spans="1:13" x14ac:dyDescent="0.25">
      <c r="A325" s="6">
        <v>324</v>
      </c>
      <c r="B325" s="3">
        <v>43207</v>
      </c>
      <c r="C325" s="2">
        <v>260.44</v>
      </c>
      <c r="D325" s="2">
        <v>261.93</v>
      </c>
      <c r="E325" s="2">
        <v>259.88</v>
      </c>
      <c r="F325" s="2">
        <v>261.27</v>
      </c>
      <c r="G325" s="1">
        <v>66890592</v>
      </c>
      <c r="H325" s="8">
        <f t="shared" si="8"/>
        <v>255.16049999999996</v>
      </c>
      <c r="I325" s="19">
        <f t="shared" si="9"/>
        <v>259.24200000000002</v>
      </c>
      <c r="J325" s="8">
        <f>testdata[[#This Row],[SMA(20)]]+0.025*testdata[[#This Row],[SMA(20)]]</f>
        <v>261.53951249999994</v>
      </c>
      <c r="K325" s="8">
        <f>testdata[[#This Row],[SMA(20)]]-0.025*testdata[[#This Row],[SMA(20)]]</f>
        <v>248.78148749999997</v>
      </c>
      <c r="L325" s="16">
        <f>testdata[[#This Row],[close]]-testdata[[#This Row],[SMA(TW)]]</f>
        <v>2.0279999999999632</v>
      </c>
      <c r="M325"/>
    </row>
    <row r="326" spans="1:13" x14ac:dyDescent="0.25">
      <c r="A326" s="6">
        <v>325</v>
      </c>
      <c r="B326" s="3">
        <v>43208</v>
      </c>
      <c r="C326" s="2">
        <v>261.75</v>
      </c>
      <c r="D326" s="2">
        <v>262.33999999999997</v>
      </c>
      <c r="E326" s="2">
        <v>260.95999999999998</v>
      </c>
      <c r="F326" s="2">
        <v>261.45999999999998</v>
      </c>
      <c r="G326" s="1">
        <v>59260488</v>
      </c>
      <c r="H326" s="8">
        <f t="shared" si="8"/>
        <v>255.13350000000005</v>
      </c>
      <c r="I326" s="19">
        <f t="shared" si="9"/>
        <v>258.9495</v>
      </c>
      <c r="J326" s="8">
        <f>testdata[[#This Row],[SMA(20)]]+0.025*testdata[[#This Row],[SMA(20)]]</f>
        <v>261.51183750000007</v>
      </c>
      <c r="K326" s="8">
        <f>testdata[[#This Row],[SMA(20)]]-0.025*testdata[[#This Row],[SMA(20)]]</f>
        <v>248.75516250000004</v>
      </c>
      <c r="L326" s="16">
        <f>testdata[[#This Row],[close]]-testdata[[#This Row],[SMA(TW)]]</f>
        <v>2.5104999999999791</v>
      </c>
      <c r="M326"/>
    </row>
    <row r="327" spans="1:13" x14ac:dyDescent="0.25">
      <c r="A327" s="6">
        <v>326</v>
      </c>
      <c r="B327" s="3">
        <v>43209</v>
      </c>
      <c r="C327" s="2">
        <v>260.75</v>
      </c>
      <c r="D327" s="2">
        <v>260.97000000000003</v>
      </c>
      <c r="E327" s="2">
        <v>258.88</v>
      </c>
      <c r="F327" s="2">
        <v>260.01</v>
      </c>
      <c r="G327" s="1">
        <v>80307456</v>
      </c>
      <c r="H327" s="8">
        <f t="shared" si="8"/>
        <v>255.05900000000005</v>
      </c>
      <c r="I327" s="19">
        <f t="shared" si="9"/>
        <v>258.30700000000002</v>
      </c>
      <c r="J327" s="8">
        <f>testdata[[#This Row],[SMA(20)]]+0.025*testdata[[#This Row],[SMA(20)]]</f>
        <v>261.43547500000005</v>
      </c>
      <c r="K327" s="8">
        <f>testdata[[#This Row],[SMA(20)]]-0.025*testdata[[#This Row],[SMA(20)]]</f>
        <v>248.68252500000006</v>
      </c>
      <c r="L327" s="16">
        <f>testdata[[#This Row],[close]]-testdata[[#This Row],[SMA(TW)]]</f>
        <v>1.7029999999999745</v>
      </c>
      <c r="M327"/>
    </row>
    <row r="328" spans="1:13" x14ac:dyDescent="0.25">
      <c r="A328" s="6">
        <v>327</v>
      </c>
      <c r="B328" s="3">
        <v>43210</v>
      </c>
      <c r="C328" s="2">
        <v>259.93</v>
      </c>
      <c r="D328" s="2">
        <v>260.18</v>
      </c>
      <c r="E328" s="2">
        <v>256.83999999999997</v>
      </c>
      <c r="F328" s="2">
        <v>257.81</v>
      </c>
      <c r="G328" s="1">
        <v>103366016</v>
      </c>
      <c r="H328" s="8">
        <f t="shared" si="8"/>
        <v>255.20150000000004</v>
      </c>
      <c r="I328" s="19">
        <f t="shared" si="9"/>
        <v>257.49650000000003</v>
      </c>
      <c r="J328" s="8">
        <f>testdata[[#This Row],[SMA(20)]]+0.025*testdata[[#This Row],[SMA(20)]]</f>
        <v>261.58153750000002</v>
      </c>
      <c r="K328" s="8">
        <f>testdata[[#This Row],[SMA(20)]]-0.025*testdata[[#This Row],[SMA(20)]]</f>
        <v>248.82146250000002</v>
      </c>
      <c r="L328" s="16">
        <f>testdata[[#This Row],[close]]-testdata[[#This Row],[SMA(TW)]]</f>
        <v>0.31349999999997635</v>
      </c>
      <c r="M328"/>
    </row>
    <row r="329" spans="1:13" x14ac:dyDescent="0.25">
      <c r="A329" s="6">
        <v>328</v>
      </c>
      <c r="B329" s="3">
        <v>43213</v>
      </c>
      <c r="C329" s="2">
        <v>258.44</v>
      </c>
      <c r="D329" s="2">
        <v>259.04000000000002</v>
      </c>
      <c r="E329" s="2">
        <v>256.58999999999997</v>
      </c>
      <c r="F329" s="2">
        <v>257.77</v>
      </c>
      <c r="G329" s="1">
        <v>67796416</v>
      </c>
      <c r="H329" s="8">
        <f t="shared" si="8"/>
        <v>255.61350000000002</v>
      </c>
      <c r="I329" s="19">
        <f t="shared" si="9"/>
        <v>256.904</v>
      </c>
      <c r="J329" s="8">
        <f>testdata[[#This Row],[SMA(20)]]+0.025*testdata[[#This Row],[SMA(20)]]</f>
        <v>262.00383750000003</v>
      </c>
      <c r="K329" s="8">
        <f>testdata[[#This Row],[SMA(20)]]-0.025*testdata[[#This Row],[SMA(20)]]</f>
        <v>249.2231625</v>
      </c>
      <c r="L329" s="16">
        <f>testdata[[#This Row],[close]]-testdata[[#This Row],[SMA(TW)]]</f>
        <v>0.86599999999998545</v>
      </c>
      <c r="M329"/>
    </row>
    <row r="330" spans="1:13" x14ac:dyDescent="0.25">
      <c r="A330" s="6">
        <v>329</v>
      </c>
      <c r="B330" s="3">
        <v>43214</v>
      </c>
      <c r="C330" s="2">
        <v>258.89</v>
      </c>
      <c r="D330" s="2">
        <v>259.13</v>
      </c>
      <c r="E330" s="2">
        <v>252.65</v>
      </c>
      <c r="F330" s="2">
        <v>254.3</v>
      </c>
      <c r="G330" s="1">
        <v>116739904</v>
      </c>
      <c r="H330" s="8">
        <f t="shared" si="8"/>
        <v>255.51050000000009</v>
      </c>
      <c r="I330" s="19">
        <f t="shared" si="9"/>
        <v>256.33050000000003</v>
      </c>
      <c r="J330" s="8">
        <f>testdata[[#This Row],[SMA(20)]]+0.025*testdata[[#This Row],[SMA(20)]]</f>
        <v>261.8982625000001</v>
      </c>
      <c r="K330" s="8">
        <f>testdata[[#This Row],[SMA(20)]]-0.025*testdata[[#This Row],[SMA(20)]]</f>
        <v>249.12273750000008</v>
      </c>
      <c r="L330" s="16">
        <f>testdata[[#This Row],[close]]-testdata[[#This Row],[SMA(TW)]]</f>
        <v>-2.0305000000000177</v>
      </c>
      <c r="M330"/>
    </row>
    <row r="331" spans="1:13" x14ac:dyDescent="0.25">
      <c r="A331" s="6">
        <v>330</v>
      </c>
      <c r="B331" s="3">
        <v>43215</v>
      </c>
      <c r="C331" s="2">
        <v>254.23</v>
      </c>
      <c r="D331" s="2">
        <v>255.41</v>
      </c>
      <c r="E331" s="2">
        <v>252.24</v>
      </c>
      <c r="F331" s="2">
        <v>254.93</v>
      </c>
      <c r="G331" s="1">
        <v>107386584</v>
      </c>
      <c r="H331" s="8">
        <f t="shared" si="8"/>
        <v>255.6570000000001</v>
      </c>
      <c r="I331" s="19">
        <f t="shared" si="9"/>
        <v>255.93049999999999</v>
      </c>
      <c r="J331" s="8">
        <f>testdata[[#This Row],[SMA(20)]]+0.025*testdata[[#This Row],[SMA(20)]]</f>
        <v>262.04842500000012</v>
      </c>
      <c r="K331" s="8">
        <f>testdata[[#This Row],[SMA(20)]]-0.025*testdata[[#This Row],[SMA(20)]]</f>
        <v>249.2655750000001</v>
      </c>
      <c r="L331" s="16">
        <f>testdata[[#This Row],[close]]-testdata[[#This Row],[SMA(TW)]]</f>
        <v>-1.0004999999999882</v>
      </c>
      <c r="M331"/>
    </row>
    <row r="332" spans="1:13" x14ac:dyDescent="0.25">
      <c r="A332" s="6">
        <v>331</v>
      </c>
      <c r="B332" s="3">
        <v>43216</v>
      </c>
      <c r="C332" s="2">
        <v>256.05</v>
      </c>
      <c r="D332" s="2">
        <v>258.42</v>
      </c>
      <c r="E332" s="2">
        <v>255.56</v>
      </c>
      <c r="F332" s="2">
        <v>257.52</v>
      </c>
      <c r="G332" s="1">
        <v>70044640</v>
      </c>
      <c r="H332" s="8">
        <f t="shared" si="8"/>
        <v>255.97050000000007</v>
      </c>
      <c r="I332" s="19">
        <f t="shared" si="9"/>
        <v>255.50749999999994</v>
      </c>
      <c r="J332" s="8">
        <f>testdata[[#This Row],[SMA(20)]]+0.025*testdata[[#This Row],[SMA(20)]]</f>
        <v>262.36976250000009</v>
      </c>
      <c r="K332" s="8">
        <f>testdata[[#This Row],[SMA(20)]]-0.025*testdata[[#This Row],[SMA(20)]]</f>
        <v>249.57123750000008</v>
      </c>
      <c r="L332" s="16">
        <f>testdata[[#This Row],[close]]-testdata[[#This Row],[SMA(TW)]]</f>
        <v>2.0125000000000455</v>
      </c>
      <c r="M332"/>
    </row>
    <row r="333" spans="1:13" x14ac:dyDescent="0.25">
      <c r="A333" s="6">
        <v>332</v>
      </c>
      <c r="B333" s="3">
        <v>43217</v>
      </c>
      <c r="C333" s="2">
        <v>258.18</v>
      </c>
      <c r="D333" s="2">
        <v>258.51</v>
      </c>
      <c r="E333" s="2">
        <v>256.73</v>
      </c>
      <c r="F333" s="2">
        <v>257.76</v>
      </c>
      <c r="G333" s="1">
        <v>59001736</v>
      </c>
      <c r="H333" s="8">
        <f t="shared" si="8"/>
        <v>256.13550000000004</v>
      </c>
      <c r="I333" s="19">
        <f t="shared" si="9"/>
        <v>255.17499999999995</v>
      </c>
      <c r="J333" s="8">
        <f>testdata[[#This Row],[SMA(20)]]+0.025*testdata[[#This Row],[SMA(20)]]</f>
        <v>262.53888750000004</v>
      </c>
      <c r="K333" s="8">
        <f>testdata[[#This Row],[SMA(20)]]-0.025*testdata[[#This Row],[SMA(20)]]</f>
        <v>249.73211250000003</v>
      </c>
      <c r="L333" s="16">
        <f>testdata[[#This Row],[close]]-testdata[[#This Row],[SMA(TW)]]</f>
        <v>2.5850000000000364</v>
      </c>
      <c r="M333"/>
    </row>
    <row r="334" spans="1:13" x14ac:dyDescent="0.25">
      <c r="A334" s="6">
        <v>333</v>
      </c>
      <c r="B334" s="3">
        <v>43220</v>
      </c>
      <c r="C334" s="2">
        <v>258.44</v>
      </c>
      <c r="D334" s="2">
        <v>259.04000000000002</v>
      </c>
      <c r="E334" s="2">
        <v>255.7</v>
      </c>
      <c r="F334" s="2">
        <v>255.78</v>
      </c>
      <c r="G334" s="1">
        <v>84988424</v>
      </c>
      <c r="H334" s="8">
        <f t="shared" si="8"/>
        <v>256.476</v>
      </c>
      <c r="I334" s="19">
        <f t="shared" si="9"/>
        <v>255.16049999999996</v>
      </c>
      <c r="J334" s="8">
        <f>testdata[[#This Row],[SMA(20)]]+0.025*testdata[[#This Row],[SMA(20)]]</f>
        <v>262.8879</v>
      </c>
      <c r="K334" s="8">
        <f>testdata[[#This Row],[SMA(20)]]-0.025*testdata[[#This Row],[SMA(20)]]</f>
        <v>250.0641</v>
      </c>
      <c r="L334" s="16">
        <f>testdata[[#This Row],[close]]-testdata[[#This Row],[SMA(TW)]]</f>
        <v>0.61950000000004479</v>
      </c>
      <c r="M334"/>
    </row>
    <row r="335" spans="1:13" x14ac:dyDescent="0.25">
      <c r="A335" s="6">
        <v>334</v>
      </c>
      <c r="B335" s="3">
        <v>43221</v>
      </c>
      <c r="C335" s="2">
        <v>255.16</v>
      </c>
      <c r="D335" s="2">
        <v>256.35000000000002</v>
      </c>
      <c r="E335" s="2">
        <v>253.46</v>
      </c>
      <c r="F335" s="2">
        <v>256.23</v>
      </c>
      <c r="G335" s="1">
        <v>76737024</v>
      </c>
      <c r="H335" s="8">
        <f t="shared" si="8"/>
        <v>256.67950000000002</v>
      </c>
      <c r="I335" s="19">
        <f t="shared" si="9"/>
        <v>255.13350000000005</v>
      </c>
      <c r="J335" s="8">
        <f>testdata[[#This Row],[SMA(20)]]+0.025*testdata[[#This Row],[SMA(20)]]</f>
        <v>263.09648750000002</v>
      </c>
      <c r="K335" s="8">
        <f>testdata[[#This Row],[SMA(20)]]-0.025*testdata[[#This Row],[SMA(20)]]</f>
        <v>250.26251250000001</v>
      </c>
      <c r="L335" s="16">
        <f>testdata[[#This Row],[close]]-testdata[[#This Row],[SMA(TW)]]</f>
        <v>1.0964999999999634</v>
      </c>
      <c r="M335"/>
    </row>
    <row r="336" spans="1:13" x14ac:dyDescent="0.25">
      <c r="A336" s="6">
        <v>335</v>
      </c>
      <c r="B336" s="3">
        <v>43222</v>
      </c>
      <c r="C336" s="2">
        <v>256.02</v>
      </c>
      <c r="D336" s="2">
        <v>256.91000000000003</v>
      </c>
      <c r="E336" s="2">
        <v>254.08</v>
      </c>
      <c r="F336" s="2">
        <v>254.51</v>
      </c>
      <c r="G336" s="1">
        <v>89317992</v>
      </c>
      <c r="H336" s="8">
        <f t="shared" si="8"/>
        <v>256.66199999999998</v>
      </c>
      <c r="I336" s="19">
        <f t="shared" si="9"/>
        <v>255.05900000000005</v>
      </c>
      <c r="J336" s="8">
        <f>testdata[[#This Row],[SMA(20)]]+0.025*testdata[[#This Row],[SMA(20)]]</f>
        <v>263.07854999999995</v>
      </c>
      <c r="K336" s="8">
        <f>testdata[[#This Row],[SMA(20)]]-0.025*testdata[[#This Row],[SMA(20)]]</f>
        <v>250.24544999999998</v>
      </c>
      <c r="L336" s="16">
        <f>testdata[[#This Row],[close]]-testdata[[#This Row],[SMA(TW)]]</f>
        <v>-0.54900000000006344</v>
      </c>
      <c r="M336"/>
    </row>
    <row r="337" spans="1:13" x14ac:dyDescent="0.25">
      <c r="A337" s="6">
        <v>336</v>
      </c>
      <c r="B337" s="3">
        <v>43223</v>
      </c>
      <c r="C337" s="2">
        <v>253.6</v>
      </c>
      <c r="D337" s="2">
        <v>254.66</v>
      </c>
      <c r="E337" s="2">
        <v>250.5</v>
      </c>
      <c r="F337" s="2">
        <v>253.95</v>
      </c>
      <c r="G337" s="1">
        <v>140965808</v>
      </c>
      <c r="H337" s="8">
        <f t="shared" si="8"/>
        <v>256.51600000000002</v>
      </c>
      <c r="I337" s="19">
        <f t="shared" si="9"/>
        <v>255.20150000000004</v>
      </c>
      <c r="J337" s="8">
        <f>testdata[[#This Row],[SMA(20)]]+0.025*testdata[[#This Row],[SMA(20)]]</f>
        <v>262.9289</v>
      </c>
      <c r="K337" s="8">
        <f>testdata[[#This Row],[SMA(20)]]-0.025*testdata[[#This Row],[SMA(20)]]</f>
        <v>250.10310000000001</v>
      </c>
      <c r="L337" s="16">
        <f>testdata[[#This Row],[close]]-testdata[[#This Row],[SMA(TW)]]</f>
        <v>-1.2515000000000498</v>
      </c>
      <c r="M337"/>
    </row>
    <row r="338" spans="1:13" x14ac:dyDescent="0.25">
      <c r="A338" s="6">
        <v>337</v>
      </c>
      <c r="B338" s="3">
        <v>43224</v>
      </c>
      <c r="C338" s="2">
        <v>252.89</v>
      </c>
      <c r="D338" s="2">
        <v>257.98</v>
      </c>
      <c r="E338" s="2">
        <v>252.53</v>
      </c>
      <c r="F338" s="2">
        <v>257.24</v>
      </c>
      <c r="G338" s="1">
        <v>94336840</v>
      </c>
      <c r="H338" s="8">
        <f t="shared" si="8"/>
        <v>256.82099999999997</v>
      </c>
      <c r="I338" s="19">
        <f t="shared" si="9"/>
        <v>255.61350000000002</v>
      </c>
      <c r="J338" s="8">
        <f>testdata[[#This Row],[SMA(20)]]+0.025*testdata[[#This Row],[SMA(20)]]</f>
        <v>263.24152499999997</v>
      </c>
      <c r="K338" s="8">
        <f>testdata[[#This Row],[SMA(20)]]-0.025*testdata[[#This Row],[SMA(20)]]</f>
        <v>250.40047499999997</v>
      </c>
      <c r="L338" s="16">
        <f>testdata[[#This Row],[close]]-testdata[[#This Row],[SMA(TW)]]</f>
        <v>1.626499999999993</v>
      </c>
      <c r="M338"/>
    </row>
    <row r="339" spans="1:13" x14ac:dyDescent="0.25">
      <c r="A339" s="6">
        <v>338</v>
      </c>
      <c r="B339" s="3">
        <v>43227</v>
      </c>
      <c r="C339" s="2">
        <v>258.08</v>
      </c>
      <c r="D339" s="2">
        <v>259.17</v>
      </c>
      <c r="E339" s="2">
        <v>257.32</v>
      </c>
      <c r="F339" s="2">
        <v>258.11</v>
      </c>
      <c r="G339" s="1">
        <v>57193284</v>
      </c>
      <c r="H339" s="8">
        <f t="shared" si="8"/>
        <v>257.10749999999996</v>
      </c>
      <c r="I339" s="19">
        <f t="shared" si="9"/>
        <v>255.51050000000009</v>
      </c>
      <c r="J339" s="8">
        <f>testdata[[#This Row],[SMA(20)]]+0.025*testdata[[#This Row],[SMA(20)]]</f>
        <v>263.53518749999995</v>
      </c>
      <c r="K339" s="8">
        <f>testdata[[#This Row],[SMA(20)]]-0.025*testdata[[#This Row],[SMA(20)]]</f>
        <v>250.67981249999997</v>
      </c>
      <c r="L339" s="16">
        <f>testdata[[#This Row],[close]]-testdata[[#This Row],[SMA(TW)]]</f>
        <v>2.5994999999999209</v>
      </c>
      <c r="M339"/>
    </row>
    <row r="340" spans="1:13" x14ac:dyDescent="0.25">
      <c r="A340" s="6">
        <v>339</v>
      </c>
      <c r="B340" s="3">
        <v>43228</v>
      </c>
      <c r="C340" s="2">
        <v>257.7</v>
      </c>
      <c r="D340" s="2">
        <v>258.5</v>
      </c>
      <c r="E340" s="2">
        <v>256.39999999999998</v>
      </c>
      <c r="F340" s="2">
        <v>258.11</v>
      </c>
      <c r="G340" s="1">
        <v>69804000</v>
      </c>
      <c r="H340" s="8">
        <f t="shared" si="8"/>
        <v>257.19299999999998</v>
      </c>
      <c r="I340" s="19">
        <f t="shared" si="9"/>
        <v>255.6570000000001</v>
      </c>
      <c r="J340" s="8">
        <f>testdata[[#This Row],[SMA(20)]]+0.025*testdata[[#This Row],[SMA(20)]]</f>
        <v>263.62282499999998</v>
      </c>
      <c r="K340" s="8">
        <f>testdata[[#This Row],[SMA(20)]]-0.025*testdata[[#This Row],[SMA(20)]]</f>
        <v>250.76317499999999</v>
      </c>
      <c r="L340" s="16">
        <f>testdata[[#This Row],[close]]-testdata[[#This Row],[SMA(TW)]]</f>
        <v>2.4529999999999177</v>
      </c>
      <c r="M340"/>
    </row>
    <row r="341" spans="1:13" x14ac:dyDescent="0.25">
      <c r="A341" s="6">
        <v>340</v>
      </c>
      <c r="B341" s="3">
        <v>43229</v>
      </c>
      <c r="C341" s="2">
        <v>258.83999999999997</v>
      </c>
      <c r="D341" s="2">
        <v>260.95</v>
      </c>
      <c r="E341" s="2">
        <v>258.27</v>
      </c>
      <c r="F341" s="2">
        <v>260.60000000000002</v>
      </c>
      <c r="G341" s="1">
        <v>61703432</v>
      </c>
      <c r="H341" s="8">
        <f t="shared" si="8"/>
        <v>257.47050000000002</v>
      </c>
      <c r="I341" s="19">
        <f t="shared" si="9"/>
        <v>255.97050000000007</v>
      </c>
      <c r="J341" s="8">
        <f>testdata[[#This Row],[SMA(20)]]+0.025*testdata[[#This Row],[SMA(20)]]</f>
        <v>263.9072625</v>
      </c>
      <c r="K341" s="8">
        <f>testdata[[#This Row],[SMA(20)]]-0.025*testdata[[#This Row],[SMA(20)]]</f>
        <v>251.03373750000003</v>
      </c>
      <c r="L341" s="16">
        <f>testdata[[#This Row],[close]]-testdata[[#This Row],[SMA(TW)]]</f>
        <v>4.6294999999999504</v>
      </c>
      <c r="M341"/>
    </row>
    <row r="342" spans="1:13" x14ac:dyDescent="0.25">
      <c r="A342" s="6">
        <v>341</v>
      </c>
      <c r="B342" s="3">
        <v>43230</v>
      </c>
      <c r="C342" s="2">
        <v>261.41000000000003</v>
      </c>
      <c r="D342" s="2">
        <v>263.39999999999998</v>
      </c>
      <c r="E342" s="2">
        <v>261.3</v>
      </c>
      <c r="F342" s="2">
        <v>263.04000000000002</v>
      </c>
      <c r="G342" s="1">
        <v>74524544</v>
      </c>
      <c r="H342" s="8">
        <f t="shared" ref="H342:H405" si="10">AVERAGE(F323:F342)</f>
        <v>257.76499999999999</v>
      </c>
      <c r="I342" s="19">
        <f t="shared" si="9"/>
        <v>256.13550000000004</v>
      </c>
      <c r="J342" s="8">
        <f>testdata[[#This Row],[SMA(20)]]+0.025*testdata[[#This Row],[SMA(20)]]</f>
        <v>264.20912499999997</v>
      </c>
      <c r="K342" s="8">
        <f>testdata[[#This Row],[SMA(20)]]-0.025*testdata[[#This Row],[SMA(20)]]</f>
        <v>251.320875</v>
      </c>
      <c r="L342" s="16">
        <f>testdata[[#This Row],[close]]-testdata[[#This Row],[SMA(TW)]]</f>
        <v>6.9044999999999845</v>
      </c>
      <c r="M342"/>
    </row>
    <row r="343" spans="1:13" x14ac:dyDescent="0.25">
      <c r="A343" s="6">
        <v>342</v>
      </c>
      <c r="B343" s="3">
        <v>43231</v>
      </c>
      <c r="C343" s="2">
        <v>263.17</v>
      </c>
      <c r="D343" s="2">
        <v>264.13</v>
      </c>
      <c r="E343" s="2">
        <v>262.61</v>
      </c>
      <c r="F343" s="2">
        <v>263.83999999999997</v>
      </c>
      <c r="G343" s="1">
        <v>61915812</v>
      </c>
      <c r="H343" s="8">
        <f t="shared" si="10"/>
        <v>258.137</v>
      </c>
      <c r="I343" s="19">
        <f t="shared" si="9"/>
        <v>256.476</v>
      </c>
      <c r="J343" s="8">
        <f>testdata[[#This Row],[SMA(20)]]+0.025*testdata[[#This Row],[SMA(20)]]</f>
        <v>264.59042499999998</v>
      </c>
      <c r="K343" s="8">
        <f>testdata[[#This Row],[SMA(20)]]-0.025*testdata[[#This Row],[SMA(20)]]</f>
        <v>251.68357499999999</v>
      </c>
      <c r="L343" s="16">
        <f>testdata[[#This Row],[close]]-testdata[[#This Row],[SMA(TW)]]</f>
        <v>7.3639999999999759</v>
      </c>
      <c r="M343"/>
    </row>
    <row r="344" spans="1:13" x14ac:dyDescent="0.25">
      <c r="A344" s="6">
        <v>343</v>
      </c>
      <c r="B344" s="3">
        <v>43234</v>
      </c>
      <c r="C344" s="2">
        <v>264.31</v>
      </c>
      <c r="D344" s="2">
        <v>265.02999999999997</v>
      </c>
      <c r="E344" s="2">
        <v>263.37</v>
      </c>
      <c r="F344" s="2">
        <v>263.97000000000003</v>
      </c>
      <c r="G344" s="1">
        <v>56661420</v>
      </c>
      <c r="H344" s="8">
        <f t="shared" si="10"/>
        <v>258.41050000000007</v>
      </c>
      <c r="I344" s="19">
        <f t="shared" si="9"/>
        <v>256.67950000000002</v>
      </c>
      <c r="J344" s="8">
        <f>testdata[[#This Row],[SMA(20)]]+0.025*testdata[[#This Row],[SMA(20)]]</f>
        <v>264.87076250000007</v>
      </c>
      <c r="K344" s="8">
        <f>testdata[[#This Row],[SMA(20)]]-0.025*testdata[[#This Row],[SMA(20)]]</f>
        <v>251.95023750000007</v>
      </c>
      <c r="L344" s="16">
        <f>testdata[[#This Row],[close]]-testdata[[#This Row],[SMA(TW)]]</f>
        <v>7.2905000000000086</v>
      </c>
      <c r="M344"/>
    </row>
    <row r="345" spans="1:13" x14ac:dyDescent="0.25">
      <c r="A345" s="6">
        <v>344</v>
      </c>
      <c r="B345" s="3">
        <v>43235</v>
      </c>
      <c r="C345" s="2">
        <v>262.62</v>
      </c>
      <c r="D345" s="2">
        <v>262.64</v>
      </c>
      <c r="E345" s="2">
        <v>261.11</v>
      </c>
      <c r="F345" s="2">
        <v>262.14999999999998</v>
      </c>
      <c r="G345" s="1">
        <v>90007968</v>
      </c>
      <c r="H345" s="8">
        <f t="shared" si="10"/>
        <v>258.4545</v>
      </c>
      <c r="I345" s="19">
        <f t="shared" si="9"/>
        <v>256.66199999999998</v>
      </c>
      <c r="J345" s="8">
        <f>testdata[[#This Row],[SMA(20)]]+0.025*testdata[[#This Row],[SMA(20)]]</f>
        <v>264.9158625</v>
      </c>
      <c r="K345" s="8">
        <f>testdata[[#This Row],[SMA(20)]]-0.025*testdata[[#This Row],[SMA(20)]]</f>
        <v>251.99313749999999</v>
      </c>
      <c r="L345" s="16">
        <f>testdata[[#This Row],[close]]-testdata[[#This Row],[SMA(TW)]]</f>
        <v>5.4879999999999995</v>
      </c>
      <c r="M345"/>
    </row>
    <row r="346" spans="1:13" x14ac:dyDescent="0.25">
      <c r="A346" s="6">
        <v>345</v>
      </c>
      <c r="B346" s="3">
        <v>43236</v>
      </c>
      <c r="C346" s="2">
        <v>262.19</v>
      </c>
      <c r="D346" s="2">
        <v>263.75</v>
      </c>
      <c r="E346" s="2">
        <v>262.16000000000003</v>
      </c>
      <c r="F346" s="2">
        <v>263.25</v>
      </c>
      <c r="G346" s="1">
        <v>55784492</v>
      </c>
      <c r="H346" s="8">
        <f t="shared" si="10"/>
        <v>258.54399999999998</v>
      </c>
      <c r="I346" s="19">
        <f t="shared" si="9"/>
        <v>256.51600000000002</v>
      </c>
      <c r="J346" s="8">
        <f>testdata[[#This Row],[SMA(20)]]+0.025*testdata[[#This Row],[SMA(20)]]</f>
        <v>265.00759999999997</v>
      </c>
      <c r="K346" s="8">
        <f>testdata[[#This Row],[SMA(20)]]-0.025*testdata[[#This Row],[SMA(20)]]</f>
        <v>252.0804</v>
      </c>
      <c r="L346" s="16">
        <f>testdata[[#This Row],[close]]-testdata[[#This Row],[SMA(TW)]]</f>
        <v>6.7339999999999804</v>
      </c>
      <c r="M346"/>
    </row>
    <row r="347" spans="1:13" x14ac:dyDescent="0.25">
      <c r="A347" s="6">
        <v>346</v>
      </c>
      <c r="B347" s="3">
        <v>43237</v>
      </c>
      <c r="C347" s="2">
        <v>262.95999999999998</v>
      </c>
      <c r="D347" s="2">
        <v>264.20999999999998</v>
      </c>
      <c r="E347" s="2">
        <v>262.18</v>
      </c>
      <c r="F347" s="2">
        <v>263.02999999999997</v>
      </c>
      <c r="G347" s="1">
        <v>58466824</v>
      </c>
      <c r="H347" s="8">
        <f t="shared" si="10"/>
        <v>258.69499999999994</v>
      </c>
      <c r="I347" s="19">
        <f t="shared" si="9"/>
        <v>256.82099999999997</v>
      </c>
      <c r="J347" s="8">
        <f>testdata[[#This Row],[SMA(20)]]+0.025*testdata[[#This Row],[SMA(20)]]</f>
        <v>265.16237499999994</v>
      </c>
      <c r="K347" s="8">
        <f>testdata[[#This Row],[SMA(20)]]-0.025*testdata[[#This Row],[SMA(20)]]</f>
        <v>252.22762499999993</v>
      </c>
      <c r="L347" s="16">
        <f>testdata[[#This Row],[close]]-testdata[[#This Row],[SMA(TW)]]</f>
        <v>6.2090000000000032</v>
      </c>
      <c r="M347"/>
    </row>
    <row r="348" spans="1:13" x14ac:dyDescent="0.25">
      <c r="A348" s="6">
        <v>347</v>
      </c>
      <c r="B348" s="3">
        <v>43238</v>
      </c>
      <c r="C348" s="2">
        <v>262.64999999999998</v>
      </c>
      <c r="D348" s="2">
        <v>263.05</v>
      </c>
      <c r="E348" s="2">
        <v>261.98</v>
      </c>
      <c r="F348" s="2">
        <v>262.37</v>
      </c>
      <c r="G348" s="1">
        <v>66565792</v>
      </c>
      <c r="H348" s="8">
        <f t="shared" si="10"/>
        <v>258.92299999999994</v>
      </c>
      <c r="I348" s="19">
        <f t="shared" si="9"/>
        <v>257.10749999999996</v>
      </c>
      <c r="J348" s="8">
        <f>testdata[[#This Row],[SMA(20)]]+0.025*testdata[[#This Row],[SMA(20)]]</f>
        <v>265.39607499999994</v>
      </c>
      <c r="K348" s="8">
        <f>testdata[[#This Row],[SMA(20)]]-0.025*testdata[[#This Row],[SMA(20)]]</f>
        <v>252.44992499999995</v>
      </c>
      <c r="L348" s="16">
        <f>testdata[[#This Row],[close]]-testdata[[#This Row],[SMA(TW)]]</f>
        <v>5.2625000000000455</v>
      </c>
      <c r="M348"/>
    </row>
    <row r="349" spans="1:13" x14ac:dyDescent="0.25">
      <c r="A349" s="6">
        <v>348</v>
      </c>
      <c r="B349" s="3">
        <v>43241</v>
      </c>
      <c r="C349" s="2">
        <v>264</v>
      </c>
      <c r="D349" s="2">
        <v>264.93</v>
      </c>
      <c r="E349" s="2">
        <v>262.39</v>
      </c>
      <c r="F349" s="2">
        <v>264.33999999999997</v>
      </c>
      <c r="G349" s="1">
        <v>60007156</v>
      </c>
      <c r="H349" s="8">
        <f t="shared" si="10"/>
        <v>259.25149999999996</v>
      </c>
      <c r="I349" s="19">
        <f t="shared" si="9"/>
        <v>257.19299999999998</v>
      </c>
      <c r="J349" s="8">
        <f>testdata[[#This Row],[SMA(20)]]+0.025*testdata[[#This Row],[SMA(20)]]</f>
        <v>265.73278749999997</v>
      </c>
      <c r="K349" s="8">
        <f>testdata[[#This Row],[SMA(20)]]-0.025*testdata[[#This Row],[SMA(20)]]</f>
        <v>252.77021249999996</v>
      </c>
      <c r="L349" s="16">
        <f>testdata[[#This Row],[close]]-testdata[[#This Row],[SMA(TW)]]</f>
        <v>7.1469999999999914</v>
      </c>
      <c r="M349"/>
    </row>
    <row r="350" spans="1:13" x14ac:dyDescent="0.25">
      <c r="A350" s="6">
        <v>349</v>
      </c>
      <c r="B350" s="3">
        <v>43242</v>
      </c>
      <c r="C350" s="2">
        <v>264.91000000000003</v>
      </c>
      <c r="D350" s="2">
        <v>265.2</v>
      </c>
      <c r="E350" s="2">
        <v>263.25</v>
      </c>
      <c r="F350" s="2">
        <v>263.61</v>
      </c>
      <c r="G350" s="1">
        <v>54774884</v>
      </c>
      <c r="H350" s="8">
        <f t="shared" si="10"/>
        <v>259.71699999999998</v>
      </c>
      <c r="I350" s="19">
        <f t="shared" si="9"/>
        <v>257.47050000000002</v>
      </c>
      <c r="J350" s="8">
        <f>testdata[[#This Row],[SMA(20)]]+0.025*testdata[[#This Row],[SMA(20)]]</f>
        <v>266.209925</v>
      </c>
      <c r="K350" s="8">
        <f>testdata[[#This Row],[SMA(20)]]-0.025*testdata[[#This Row],[SMA(20)]]</f>
        <v>253.22407499999997</v>
      </c>
      <c r="L350" s="16">
        <f>testdata[[#This Row],[close]]-testdata[[#This Row],[SMA(TW)]]</f>
        <v>6.1394999999999982</v>
      </c>
      <c r="M350"/>
    </row>
    <row r="351" spans="1:13" x14ac:dyDescent="0.25">
      <c r="A351" s="6">
        <v>350</v>
      </c>
      <c r="B351" s="3">
        <v>43243</v>
      </c>
      <c r="C351" s="2">
        <v>262.22000000000003</v>
      </c>
      <c r="D351" s="2">
        <v>264.36</v>
      </c>
      <c r="E351" s="2">
        <v>262.04000000000002</v>
      </c>
      <c r="F351" s="2">
        <v>264.33</v>
      </c>
      <c r="G351" s="1">
        <v>66903156</v>
      </c>
      <c r="H351" s="8">
        <f t="shared" si="10"/>
        <v>260.18700000000001</v>
      </c>
      <c r="I351" s="19">
        <f t="shared" ref="I351:I414" si="11">AVERAGE(F323:F342)</f>
        <v>257.76499999999999</v>
      </c>
      <c r="J351" s="8">
        <f>testdata[[#This Row],[SMA(20)]]+0.025*testdata[[#This Row],[SMA(20)]]</f>
        <v>266.69167500000003</v>
      </c>
      <c r="K351" s="8">
        <f>testdata[[#This Row],[SMA(20)]]-0.025*testdata[[#This Row],[SMA(20)]]</f>
        <v>253.68232500000002</v>
      </c>
      <c r="L351" s="16">
        <f>testdata[[#This Row],[close]]-testdata[[#This Row],[SMA(TW)]]</f>
        <v>6.5649999999999977</v>
      </c>
      <c r="M351"/>
    </row>
    <row r="352" spans="1:13" x14ac:dyDescent="0.25">
      <c r="A352" s="6">
        <v>351</v>
      </c>
      <c r="B352" s="3">
        <v>43244</v>
      </c>
      <c r="C352" s="2">
        <v>263.89999999999998</v>
      </c>
      <c r="D352" s="2">
        <v>264.2</v>
      </c>
      <c r="E352" s="2">
        <v>261.83999999999997</v>
      </c>
      <c r="F352" s="2">
        <v>263.79000000000002</v>
      </c>
      <c r="G352" s="1">
        <v>78640328</v>
      </c>
      <c r="H352" s="8">
        <f t="shared" si="10"/>
        <v>260.50049999999999</v>
      </c>
      <c r="I352" s="19">
        <f t="shared" si="11"/>
        <v>258.137</v>
      </c>
      <c r="J352" s="8">
        <f>testdata[[#This Row],[SMA(20)]]+0.025*testdata[[#This Row],[SMA(20)]]</f>
        <v>267.0130125</v>
      </c>
      <c r="K352" s="8">
        <f>testdata[[#This Row],[SMA(20)]]-0.025*testdata[[#This Row],[SMA(20)]]</f>
        <v>253.98798749999997</v>
      </c>
      <c r="L352" s="16">
        <f>testdata[[#This Row],[close]]-testdata[[#This Row],[SMA(TW)]]</f>
        <v>5.65300000000002</v>
      </c>
      <c r="M352"/>
    </row>
    <row r="353" spans="1:13" x14ac:dyDescent="0.25">
      <c r="A353" s="6">
        <v>352</v>
      </c>
      <c r="B353" s="3">
        <v>43245</v>
      </c>
      <c r="C353" s="2">
        <v>263.16000000000003</v>
      </c>
      <c r="D353" s="2">
        <v>263.85000000000002</v>
      </c>
      <c r="E353" s="2">
        <v>262.61</v>
      </c>
      <c r="F353" s="2">
        <v>263.16000000000003</v>
      </c>
      <c r="G353" s="1">
        <v>58299660</v>
      </c>
      <c r="H353" s="8">
        <f t="shared" si="10"/>
        <v>260.77049999999997</v>
      </c>
      <c r="I353" s="19">
        <f t="shared" si="11"/>
        <v>258.41050000000007</v>
      </c>
      <c r="J353" s="8">
        <f>testdata[[#This Row],[SMA(20)]]+0.025*testdata[[#This Row],[SMA(20)]]</f>
        <v>267.28976249999999</v>
      </c>
      <c r="K353" s="8">
        <f>testdata[[#This Row],[SMA(20)]]-0.025*testdata[[#This Row],[SMA(20)]]</f>
        <v>254.25123749999997</v>
      </c>
      <c r="L353" s="16">
        <f>testdata[[#This Row],[close]]-testdata[[#This Row],[SMA(TW)]]</f>
        <v>4.749499999999955</v>
      </c>
      <c r="M353"/>
    </row>
    <row r="354" spans="1:13" x14ac:dyDescent="0.25">
      <c r="A354" s="6">
        <v>353</v>
      </c>
      <c r="B354" s="3">
        <v>43249</v>
      </c>
      <c r="C354" s="2">
        <v>261.39</v>
      </c>
      <c r="D354" s="2">
        <v>262.22000000000003</v>
      </c>
      <c r="E354" s="2">
        <v>258.92</v>
      </c>
      <c r="F354" s="2">
        <v>260.14</v>
      </c>
      <c r="G354" s="1">
        <v>119866288</v>
      </c>
      <c r="H354" s="8">
        <f t="shared" si="10"/>
        <v>260.98850000000004</v>
      </c>
      <c r="I354" s="19">
        <f t="shared" si="11"/>
        <v>258.4545</v>
      </c>
      <c r="J354" s="8">
        <f>testdata[[#This Row],[SMA(20)]]+0.025*testdata[[#This Row],[SMA(20)]]</f>
        <v>267.51321250000007</v>
      </c>
      <c r="K354" s="8">
        <f>testdata[[#This Row],[SMA(20)]]-0.025*testdata[[#This Row],[SMA(20)]]</f>
        <v>254.46378750000005</v>
      </c>
      <c r="L354" s="16">
        <f>testdata[[#This Row],[close]]-testdata[[#This Row],[SMA(TW)]]</f>
        <v>1.6854999999999905</v>
      </c>
      <c r="M354"/>
    </row>
    <row r="355" spans="1:13" x14ac:dyDescent="0.25">
      <c r="A355" s="6">
        <v>354</v>
      </c>
      <c r="B355" s="3">
        <v>43250</v>
      </c>
      <c r="C355" s="2">
        <v>261.57</v>
      </c>
      <c r="D355" s="2">
        <v>264.08999999999997</v>
      </c>
      <c r="E355" s="2">
        <v>261.49</v>
      </c>
      <c r="F355" s="2">
        <v>263.61</v>
      </c>
      <c r="G355" s="1">
        <v>72057608</v>
      </c>
      <c r="H355" s="8">
        <f t="shared" si="10"/>
        <v>261.35750000000002</v>
      </c>
      <c r="I355" s="19">
        <f t="shared" si="11"/>
        <v>258.54399999999998</v>
      </c>
      <c r="J355" s="8">
        <f>testdata[[#This Row],[SMA(20)]]+0.025*testdata[[#This Row],[SMA(20)]]</f>
        <v>267.89143749999999</v>
      </c>
      <c r="K355" s="8">
        <f>testdata[[#This Row],[SMA(20)]]-0.025*testdata[[#This Row],[SMA(20)]]</f>
        <v>254.82356250000001</v>
      </c>
      <c r="L355" s="16">
        <f>testdata[[#This Row],[close]]-testdata[[#This Row],[SMA(TW)]]</f>
        <v>5.0660000000000309</v>
      </c>
      <c r="M355"/>
    </row>
    <row r="356" spans="1:13" x14ac:dyDescent="0.25">
      <c r="A356" s="6">
        <v>355</v>
      </c>
      <c r="B356" s="3">
        <v>43251</v>
      </c>
      <c r="C356" s="2">
        <v>263.16000000000003</v>
      </c>
      <c r="D356" s="2">
        <v>263.49</v>
      </c>
      <c r="E356" s="2">
        <v>261.33</v>
      </c>
      <c r="F356" s="2">
        <v>261.99</v>
      </c>
      <c r="G356" s="1">
        <v>96713160</v>
      </c>
      <c r="H356" s="8">
        <f t="shared" si="10"/>
        <v>261.73149999999998</v>
      </c>
      <c r="I356" s="19">
        <f t="shared" si="11"/>
        <v>258.69499999999994</v>
      </c>
      <c r="J356" s="8">
        <f>testdata[[#This Row],[SMA(20)]]+0.025*testdata[[#This Row],[SMA(20)]]</f>
        <v>268.2747875</v>
      </c>
      <c r="K356" s="8">
        <f>testdata[[#This Row],[SMA(20)]]-0.025*testdata[[#This Row],[SMA(20)]]</f>
        <v>255.18821249999999</v>
      </c>
      <c r="L356" s="16">
        <f>testdata[[#This Row],[close]]-testdata[[#This Row],[SMA(TW)]]</f>
        <v>3.2950000000000728</v>
      </c>
      <c r="M356"/>
    </row>
    <row r="357" spans="1:13" x14ac:dyDescent="0.25">
      <c r="A357" s="6">
        <v>356</v>
      </c>
      <c r="B357" s="3">
        <v>43252</v>
      </c>
      <c r="C357" s="2">
        <v>263.42</v>
      </c>
      <c r="D357" s="2">
        <v>264.89999999999998</v>
      </c>
      <c r="E357" s="2">
        <v>263.33999999999997</v>
      </c>
      <c r="F357" s="2">
        <v>264.57</v>
      </c>
      <c r="G357" s="1">
        <v>73691520</v>
      </c>
      <c r="H357" s="8">
        <f t="shared" si="10"/>
        <v>262.26249999999999</v>
      </c>
      <c r="I357" s="19">
        <f t="shared" si="11"/>
        <v>258.92299999999994</v>
      </c>
      <c r="J357" s="8">
        <f>testdata[[#This Row],[SMA(20)]]+0.025*testdata[[#This Row],[SMA(20)]]</f>
        <v>268.81906249999997</v>
      </c>
      <c r="K357" s="8">
        <f>testdata[[#This Row],[SMA(20)]]-0.025*testdata[[#This Row],[SMA(20)]]</f>
        <v>255.70593749999998</v>
      </c>
      <c r="L357" s="16">
        <f>testdata[[#This Row],[close]]-testdata[[#This Row],[SMA(TW)]]</f>
        <v>5.6470000000000482</v>
      </c>
      <c r="M357"/>
    </row>
    <row r="358" spans="1:13" x14ac:dyDescent="0.25">
      <c r="A358" s="6">
        <v>357</v>
      </c>
      <c r="B358" s="3">
        <v>43255</v>
      </c>
      <c r="C358" s="2">
        <v>265.47000000000003</v>
      </c>
      <c r="D358" s="2">
        <v>266.10000000000002</v>
      </c>
      <c r="E358" s="2">
        <v>265.2</v>
      </c>
      <c r="F358" s="2">
        <v>265.82</v>
      </c>
      <c r="G358" s="1">
        <v>46934832</v>
      </c>
      <c r="H358" s="8">
        <f t="shared" si="10"/>
        <v>262.69149999999996</v>
      </c>
      <c r="I358" s="19">
        <f t="shared" si="11"/>
        <v>259.25149999999996</v>
      </c>
      <c r="J358" s="8">
        <f>testdata[[#This Row],[SMA(20)]]+0.025*testdata[[#This Row],[SMA(20)]]</f>
        <v>269.25878749999998</v>
      </c>
      <c r="K358" s="8">
        <f>testdata[[#This Row],[SMA(20)]]-0.025*testdata[[#This Row],[SMA(20)]]</f>
        <v>256.12421249999994</v>
      </c>
      <c r="L358" s="16">
        <f>testdata[[#This Row],[close]]-testdata[[#This Row],[SMA(TW)]]</f>
        <v>6.5685000000000286</v>
      </c>
      <c r="M358"/>
    </row>
    <row r="359" spans="1:13" x14ac:dyDescent="0.25">
      <c r="A359" s="6">
        <v>358</v>
      </c>
      <c r="B359" s="3">
        <v>43256</v>
      </c>
      <c r="C359" s="2">
        <v>265.97000000000003</v>
      </c>
      <c r="D359" s="2">
        <v>266.43</v>
      </c>
      <c r="E359" s="2">
        <v>265.13</v>
      </c>
      <c r="F359" s="2">
        <v>266.02</v>
      </c>
      <c r="G359" s="1">
        <v>52881036</v>
      </c>
      <c r="H359" s="8">
        <f t="shared" si="10"/>
        <v>263.08699999999988</v>
      </c>
      <c r="I359" s="19">
        <f t="shared" si="11"/>
        <v>259.71699999999998</v>
      </c>
      <c r="J359" s="8">
        <f>testdata[[#This Row],[SMA(20)]]+0.025*testdata[[#This Row],[SMA(20)]]</f>
        <v>269.66417499999989</v>
      </c>
      <c r="K359" s="8">
        <f>testdata[[#This Row],[SMA(20)]]-0.025*testdata[[#This Row],[SMA(20)]]</f>
        <v>256.50982499999986</v>
      </c>
      <c r="L359" s="16">
        <f>testdata[[#This Row],[close]]-testdata[[#This Row],[SMA(TW)]]</f>
        <v>6.3029999999999973</v>
      </c>
      <c r="M359"/>
    </row>
    <row r="360" spans="1:13" x14ac:dyDescent="0.25">
      <c r="A360" s="6">
        <v>359</v>
      </c>
      <c r="B360" s="3">
        <v>43257</v>
      </c>
      <c r="C360" s="2">
        <v>266.68</v>
      </c>
      <c r="D360" s="2">
        <v>268.36</v>
      </c>
      <c r="E360" s="2">
        <v>266.01</v>
      </c>
      <c r="F360" s="2">
        <v>268.24</v>
      </c>
      <c r="G360" s="1">
        <v>64874192</v>
      </c>
      <c r="H360" s="8">
        <f t="shared" si="10"/>
        <v>263.59349999999995</v>
      </c>
      <c r="I360" s="19">
        <f t="shared" si="11"/>
        <v>260.18700000000001</v>
      </c>
      <c r="J360" s="8">
        <f>testdata[[#This Row],[SMA(20)]]+0.025*testdata[[#This Row],[SMA(20)]]</f>
        <v>270.18333749999994</v>
      </c>
      <c r="K360" s="8">
        <f>testdata[[#This Row],[SMA(20)]]-0.025*testdata[[#This Row],[SMA(20)]]</f>
        <v>257.00366249999996</v>
      </c>
      <c r="L360" s="16">
        <f>testdata[[#This Row],[close]]-testdata[[#This Row],[SMA(TW)]]</f>
        <v>8.0529999999999973</v>
      </c>
      <c r="M360"/>
    </row>
    <row r="361" spans="1:13" x14ac:dyDescent="0.25">
      <c r="A361" s="6">
        <v>360</v>
      </c>
      <c r="B361" s="3">
        <v>43258</v>
      </c>
      <c r="C361" s="2">
        <v>268.77</v>
      </c>
      <c r="D361" s="2">
        <v>269.08999999999997</v>
      </c>
      <c r="E361" s="2">
        <v>267.22000000000003</v>
      </c>
      <c r="F361" s="2">
        <v>268.20999999999998</v>
      </c>
      <c r="G361" s="1">
        <v>75460928</v>
      </c>
      <c r="H361" s="8">
        <f t="shared" si="10"/>
        <v>263.97399999999993</v>
      </c>
      <c r="I361" s="19">
        <f t="shared" si="11"/>
        <v>260.50049999999999</v>
      </c>
      <c r="J361" s="8">
        <f>testdata[[#This Row],[SMA(20)]]+0.025*testdata[[#This Row],[SMA(20)]]</f>
        <v>270.57334999999995</v>
      </c>
      <c r="K361" s="8">
        <f>testdata[[#This Row],[SMA(20)]]-0.025*testdata[[#This Row],[SMA(20)]]</f>
        <v>257.37464999999992</v>
      </c>
      <c r="L361" s="16">
        <f>testdata[[#This Row],[close]]-testdata[[#This Row],[SMA(TW)]]</f>
        <v>7.7094999999999914</v>
      </c>
      <c r="M361"/>
    </row>
    <row r="362" spans="1:13" x14ac:dyDescent="0.25">
      <c r="A362" s="6">
        <v>361</v>
      </c>
      <c r="B362" s="3">
        <v>43259</v>
      </c>
      <c r="C362" s="2">
        <v>267.70999999999998</v>
      </c>
      <c r="D362" s="2">
        <v>269.06</v>
      </c>
      <c r="E362" s="2">
        <v>267.52999999999997</v>
      </c>
      <c r="F362" s="2">
        <v>269</v>
      </c>
      <c r="G362" s="1">
        <v>74602920</v>
      </c>
      <c r="H362" s="8">
        <f t="shared" si="10"/>
        <v>264.27199999999999</v>
      </c>
      <c r="I362" s="19">
        <f t="shared" si="11"/>
        <v>260.77049999999997</v>
      </c>
      <c r="J362" s="8">
        <f>testdata[[#This Row],[SMA(20)]]+0.025*testdata[[#This Row],[SMA(20)]]</f>
        <v>270.87880000000001</v>
      </c>
      <c r="K362" s="8">
        <f>testdata[[#This Row],[SMA(20)]]-0.025*testdata[[#This Row],[SMA(20)]]</f>
        <v>257.66519999999997</v>
      </c>
      <c r="L362" s="16">
        <f>testdata[[#This Row],[close]]-testdata[[#This Row],[SMA(TW)]]</f>
        <v>8.22950000000003</v>
      </c>
      <c r="M362"/>
    </row>
    <row r="363" spans="1:13" x14ac:dyDescent="0.25">
      <c r="A363" s="6">
        <v>362</v>
      </c>
      <c r="B363" s="3">
        <v>43262</v>
      </c>
      <c r="C363" s="2">
        <v>269.25</v>
      </c>
      <c r="D363" s="2">
        <v>270.14999999999998</v>
      </c>
      <c r="E363" s="2">
        <v>269.12</v>
      </c>
      <c r="F363" s="2">
        <v>269.36</v>
      </c>
      <c r="G363" s="1">
        <v>60903392</v>
      </c>
      <c r="H363" s="8">
        <f t="shared" si="10"/>
        <v>264.54799999999994</v>
      </c>
      <c r="I363" s="19">
        <f t="shared" si="11"/>
        <v>260.98850000000004</v>
      </c>
      <c r="J363" s="8">
        <f>testdata[[#This Row],[SMA(20)]]+0.025*testdata[[#This Row],[SMA(20)]]</f>
        <v>271.16169999999994</v>
      </c>
      <c r="K363" s="8">
        <f>testdata[[#This Row],[SMA(20)]]-0.025*testdata[[#This Row],[SMA(20)]]</f>
        <v>257.93429999999995</v>
      </c>
      <c r="L363" s="16">
        <f>testdata[[#This Row],[close]]-testdata[[#This Row],[SMA(TW)]]</f>
        <v>8.3714999999999691</v>
      </c>
      <c r="M363"/>
    </row>
    <row r="364" spans="1:13" x14ac:dyDescent="0.25">
      <c r="A364" s="6">
        <v>363</v>
      </c>
      <c r="B364" s="3">
        <v>43263</v>
      </c>
      <c r="C364" s="2">
        <v>269.82</v>
      </c>
      <c r="D364" s="2">
        <v>270.11</v>
      </c>
      <c r="E364" s="2">
        <v>269</v>
      </c>
      <c r="F364" s="2">
        <v>269.70999999999998</v>
      </c>
      <c r="G364" s="1">
        <v>74798688</v>
      </c>
      <c r="H364" s="8">
        <f t="shared" si="10"/>
        <v>264.83499999999998</v>
      </c>
      <c r="I364" s="19">
        <f t="shared" si="11"/>
        <v>261.35750000000002</v>
      </c>
      <c r="J364" s="8">
        <f>testdata[[#This Row],[SMA(20)]]+0.025*testdata[[#This Row],[SMA(20)]]</f>
        <v>271.45587499999999</v>
      </c>
      <c r="K364" s="8">
        <f>testdata[[#This Row],[SMA(20)]]-0.025*testdata[[#This Row],[SMA(20)]]</f>
        <v>258.21412499999997</v>
      </c>
      <c r="L364" s="16">
        <f>testdata[[#This Row],[close]]-testdata[[#This Row],[SMA(TW)]]</f>
        <v>8.3524999999999636</v>
      </c>
      <c r="M364"/>
    </row>
    <row r="365" spans="1:13" x14ac:dyDescent="0.25">
      <c r="A365" s="6">
        <v>364</v>
      </c>
      <c r="B365" s="3">
        <v>43264</v>
      </c>
      <c r="C365" s="2">
        <v>269.97000000000003</v>
      </c>
      <c r="D365" s="2">
        <v>270.25</v>
      </c>
      <c r="E365" s="2">
        <v>268.63</v>
      </c>
      <c r="F365" s="2">
        <v>268.85000000000002</v>
      </c>
      <c r="G365" s="1">
        <v>81770464</v>
      </c>
      <c r="H365" s="8">
        <f t="shared" si="10"/>
        <v>265.17</v>
      </c>
      <c r="I365" s="19">
        <f t="shared" si="11"/>
        <v>261.73149999999998</v>
      </c>
      <c r="J365" s="8">
        <f>testdata[[#This Row],[SMA(20)]]+0.025*testdata[[#This Row],[SMA(20)]]</f>
        <v>271.79925000000003</v>
      </c>
      <c r="K365" s="8">
        <f>testdata[[#This Row],[SMA(20)]]-0.025*testdata[[#This Row],[SMA(20)]]</f>
        <v>258.54075</v>
      </c>
      <c r="L365" s="16">
        <f>testdata[[#This Row],[close]]-testdata[[#This Row],[SMA(TW)]]</f>
        <v>7.11850000000004</v>
      </c>
      <c r="M365"/>
    </row>
    <row r="366" spans="1:13" x14ac:dyDescent="0.25">
      <c r="A366" s="6">
        <v>365</v>
      </c>
      <c r="B366" s="3">
        <v>43265</v>
      </c>
      <c r="C366" s="2">
        <v>269.8</v>
      </c>
      <c r="D366" s="2">
        <v>270.11</v>
      </c>
      <c r="E366" s="2">
        <v>268.88</v>
      </c>
      <c r="F366" s="2">
        <v>269.52999999999997</v>
      </c>
      <c r="G366" s="1">
        <v>79730104</v>
      </c>
      <c r="H366" s="8">
        <f t="shared" si="10"/>
        <v>265.48400000000004</v>
      </c>
      <c r="I366" s="19">
        <f t="shared" si="11"/>
        <v>262.26249999999999</v>
      </c>
      <c r="J366" s="8">
        <f>testdata[[#This Row],[SMA(20)]]+0.025*testdata[[#This Row],[SMA(20)]]</f>
        <v>272.12110000000001</v>
      </c>
      <c r="K366" s="8">
        <f>testdata[[#This Row],[SMA(20)]]-0.025*testdata[[#This Row],[SMA(20)]]</f>
        <v>258.84690000000006</v>
      </c>
      <c r="L366" s="16">
        <f>testdata[[#This Row],[close]]-testdata[[#This Row],[SMA(TW)]]</f>
        <v>7.2674999999999841</v>
      </c>
      <c r="M366"/>
    </row>
    <row r="367" spans="1:13" x14ac:dyDescent="0.25">
      <c r="A367" s="6">
        <v>366</v>
      </c>
      <c r="B367" s="3">
        <v>43266</v>
      </c>
      <c r="C367" s="2">
        <v>268.67</v>
      </c>
      <c r="D367" s="2">
        <v>269.55</v>
      </c>
      <c r="E367" s="2">
        <v>267.45</v>
      </c>
      <c r="F367" s="2">
        <v>269.18</v>
      </c>
      <c r="G367" s="1">
        <v>123585600</v>
      </c>
      <c r="H367" s="8">
        <f t="shared" si="10"/>
        <v>265.79150000000004</v>
      </c>
      <c r="I367" s="19">
        <f t="shared" si="11"/>
        <v>262.69149999999996</v>
      </c>
      <c r="J367" s="8">
        <f>testdata[[#This Row],[SMA(20)]]+0.025*testdata[[#This Row],[SMA(20)]]</f>
        <v>272.43628750000005</v>
      </c>
      <c r="K367" s="8">
        <f>testdata[[#This Row],[SMA(20)]]-0.025*testdata[[#This Row],[SMA(20)]]</f>
        <v>259.14671250000004</v>
      </c>
      <c r="L367" s="16">
        <f>testdata[[#This Row],[close]]-testdata[[#This Row],[SMA(TW)]]</f>
        <v>6.4885000000000446</v>
      </c>
      <c r="M367"/>
    </row>
    <row r="368" spans="1:13" x14ac:dyDescent="0.25">
      <c r="A368" s="6">
        <v>367</v>
      </c>
      <c r="B368" s="3">
        <v>43269</v>
      </c>
      <c r="C368" s="2">
        <v>267.58999999999997</v>
      </c>
      <c r="D368" s="2">
        <v>268.77</v>
      </c>
      <c r="E368" s="2">
        <v>267.07</v>
      </c>
      <c r="F368" s="2">
        <v>268.63</v>
      </c>
      <c r="G368" s="1">
        <v>54479888</v>
      </c>
      <c r="H368" s="8">
        <f t="shared" si="10"/>
        <v>266.10450000000003</v>
      </c>
      <c r="I368" s="19">
        <f t="shared" si="11"/>
        <v>263.08699999999988</v>
      </c>
      <c r="J368" s="8">
        <f>testdata[[#This Row],[SMA(20)]]+0.025*testdata[[#This Row],[SMA(20)]]</f>
        <v>272.75711250000001</v>
      </c>
      <c r="K368" s="8">
        <f>testdata[[#This Row],[SMA(20)]]-0.025*testdata[[#This Row],[SMA(20)]]</f>
        <v>259.45188750000005</v>
      </c>
      <c r="L368" s="16">
        <f>testdata[[#This Row],[close]]-testdata[[#This Row],[SMA(TW)]]</f>
        <v>5.5430000000001201</v>
      </c>
      <c r="M368"/>
    </row>
    <row r="369" spans="1:13" x14ac:dyDescent="0.25">
      <c r="A369" s="6">
        <v>368</v>
      </c>
      <c r="B369" s="3">
        <v>43270</v>
      </c>
      <c r="C369" s="2">
        <v>266.14</v>
      </c>
      <c r="D369" s="2">
        <v>267.83999999999997</v>
      </c>
      <c r="E369" s="2">
        <v>265.69</v>
      </c>
      <c r="F369" s="2">
        <v>267.60000000000002</v>
      </c>
      <c r="G369" s="1">
        <v>100410976</v>
      </c>
      <c r="H369" s="8">
        <f t="shared" si="10"/>
        <v>266.26750000000004</v>
      </c>
      <c r="I369" s="19">
        <f t="shared" si="11"/>
        <v>263.59349999999995</v>
      </c>
      <c r="J369" s="8">
        <f>testdata[[#This Row],[SMA(20)]]+0.025*testdata[[#This Row],[SMA(20)]]</f>
        <v>272.92418750000002</v>
      </c>
      <c r="K369" s="8">
        <f>testdata[[#This Row],[SMA(20)]]-0.025*testdata[[#This Row],[SMA(20)]]</f>
        <v>259.61081250000007</v>
      </c>
      <c r="L369" s="16">
        <f>testdata[[#This Row],[close]]-testdata[[#This Row],[SMA(TW)]]</f>
        <v>4.0065000000000737</v>
      </c>
      <c r="M369"/>
    </row>
    <row r="370" spans="1:13" x14ac:dyDescent="0.25">
      <c r="A370" s="6">
        <v>369</v>
      </c>
      <c r="B370" s="3">
        <v>43271</v>
      </c>
      <c r="C370" s="2">
        <v>268.35000000000002</v>
      </c>
      <c r="D370" s="2">
        <v>268.77999999999997</v>
      </c>
      <c r="E370" s="2">
        <v>267.69</v>
      </c>
      <c r="F370" s="2">
        <v>268.06</v>
      </c>
      <c r="G370" s="1">
        <v>55373416</v>
      </c>
      <c r="H370" s="8">
        <f t="shared" si="10"/>
        <v>266.49000000000007</v>
      </c>
      <c r="I370" s="19">
        <f t="shared" si="11"/>
        <v>263.97399999999993</v>
      </c>
      <c r="J370" s="8">
        <f>testdata[[#This Row],[SMA(20)]]+0.025*testdata[[#This Row],[SMA(20)]]</f>
        <v>273.15225000000009</v>
      </c>
      <c r="K370" s="8">
        <f>testdata[[#This Row],[SMA(20)]]-0.025*testdata[[#This Row],[SMA(20)]]</f>
        <v>259.82775000000004</v>
      </c>
      <c r="L370" s="16">
        <f>testdata[[#This Row],[close]]-testdata[[#This Row],[SMA(TW)]]</f>
        <v>4.0860000000000696</v>
      </c>
      <c r="M370"/>
    </row>
    <row r="371" spans="1:13" x14ac:dyDescent="0.25">
      <c r="A371" s="6">
        <v>370</v>
      </c>
      <c r="B371" s="3">
        <v>43272</v>
      </c>
      <c r="C371" s="2">
        <v>268.05</v>
      </c>
      <c r="D371" s="2">
        <v>268.07</v>
      </c>
      <c r="E371" s="2">
        <v>265.83</v>
      </c>
      <c r="F371" s="2">
        <v>266.38</v>
      </c>
      <c r="G371" s="1">
        <v>73159376</v>
      </c>
      <c r="H371" s="8">
        <f t="shared" si="10"/>
        <v>266.59250000000009</v>
      </c>
      <c r="I371" s="19">
        <f t="shared" si="11"/>
        <v>264.27199999999999</v>
      </c>
      <c r="J371" s="8">
        <f>testdata[[#This Row],[SMA(20)]]+0.025*testdata[[#This Row],[SMA(20)]]</f>
        <v>273.25731250000007</v>
      </c>
      <c r="K371" s="8">
        <f>testdata[[#This Row],[SMA(20)]]-0.025*testdata[[#This Row],[SMA(20)]]</f>
        <v>259.9276875000001</v>
      </c>
      <c r="L371" s="16">
        <f>testdata[[#This Row],[close]]-testdata[[#This Row],[SMA(TW)]]</f>
        <v>2.1080000000000041</v>
      </c>
      <c r="M371"/>
    </row>
    <row r="372" spans="1:13" x14ac:dyDescent="0.25">
      <c r="A372" s="6">
        <v>371</v>
      </c>
      <c r="B372" s="3">
        <v>43273</v>
      </c>
      <c r="C372" s="2">
        <v>267.76</v>
      </c>
      <c r="D372" s="2">
        <v>267.88</v>
      </c>
      <c r="E372" s="2">
        <v>266.62</v>
      </c>
      <c r="F372" s="2">
        <v>266.86</v>
      </c>
      <c r="G372" s="1">
        <v>58283384</v>
      </c>
      <c r="H372" s="8">
        <f t="shared" si="10"/>
        <v>266.74599999999998</v>
      </c>
      <c r="I372" s="19">
        <f t="shared" si="11"/>
        <v>264.54799999999994</v>
      </c>
      <c r="J372" s="8">
        <f>testdata[[#This Row],[SMA(20)]]+0.025*testdata[[#This Row],[SMA(20)]]</f>
        <v>273.41464999999999</v>
      </c>
      <c r="K372" s="8">
        <f>testdata[[#This Row],[SMA(20)]]-0.025*testdata[[#This Row],[SMA(20)]]</f>
        <v>260.07734999999997</v>
      </c>
      <c r="L372" s="16">
        <f>testdata[[#This Row],[close]]-testdata[[#This Row],[SMA(TW)]]</f>
        <v>2.3120000000000687</v>
      </c>
      <c r="M372"/>
    </row>
    <row r="373" spans="1:13" x14ac:dyDescent="0.25">
      <c r="A373" s="6">
        <v>372</v>
      </c>
      <c r="B373" s="3">
        <v>43276</v>
      </c>
      <c r="C373" s="2">
        <v>265.60000000000002</v>
      </c>
      <c r="D373" s="2">
        <v>265.77</v>
      </c>
      <c r="E373" s="2">
        <v>261.38</v>
      </c>
      <c r="F373" s="2">
        <v>263.23</v>
      </c>
      <c r="G373" s="1">
        <v>141924096</v>
      </c>
      <c r="H373" s="8">
        <f t="shared" si="10"/>
        <v>266.74950000000001</v>
      </c>
      <c r="I373" s="19">
        <f t="shared" si="11"/>
        <v>264.83499999999998</v>
      </c>
      <c r="J373" s="8">
        <f>testdata[[#This Row],[SMA(20)]]+0.025*testdata[[#This Row],[SMA(20)]]</f>
        <v>273.41823750000003</v>
      </c>
      <c r="K373" s="8">
        <f>testdata[[#This Row],[SMA(20)]]-0.025*testdata[[#This Row],[SMA(20)]]</f>
        <v>260.08076249999999</v>
      </c>
      <c r="L373" s="16">
        <f>testdata[[#This Row],[close]]-testdata[[#This Row],[SMA(TW)]]</f>
        <v>-1.6049999999999613</v>
      </c>
      <c r="M373"/>
    </row>
    <row r="374" spans="1:13" x14ac:dyDescent="0.25">
      <c r="A374" s="6">
        <v>373</v>
      </c>
      <c r="B374" s="3">
        <v>43277</v>
      </c>
      <c r="C374" s="2">
        <v>263.85000000000002</v>
      </c>
      <c r="D374" s="2">
        <v>264.74</v>
      </c>
      <c r="E374" s="2">
        <v>263.02</v>
      </c>
      <c r="F374" s="2">
        <v>263.81</v>
      </c>
      <c r="G374" s="1">
        <v>70710976</v>
      </c>
      <c r="H374" s="8">
        <f t="shared" si="10"/>
        <v>266.93300000000005</v>
      </c>
      <c r="I374" s="19">
        <f t="shared" si="11"/>
        <v>265.17</v>
      </c>
      <c r="J374" s="8">
        <f>testdata[[#This Row],[SMA(20)]]+0.025*testdata[[#This Row],[SMA(20)]]</f>
        <v>273.60632500000003</v>
      </c>
      <c r="K374" s="8">
        <f>testdata[[#This Row],[SMA(20)]]-0.025*testdata[[#This Row],[SMA(20)]]</f>
        <v>260.25967500000007</v>
      </c>
      <c r="L374" s="16">
        <f>testdata[[#This Row],[close]]-testdata[[#This Row],[SMA(TW)]]</f>
        <v>-1.3600000000000136</v>
      </c>
      <c r="M374"/>
    </row>
    <row r="375" spans="1:13" x14ac:dyDescent="0.25">
      <c r="A375" s="6">
        <v>374</v>
      </c>
      <c r="B375" s="3">
        <v>43278</v>
      </c>
      <c r="C375" s="2">
        <v>264.45</v>
      </c>
      <c r="D375" s="2">
        <v>266.01</v>
      </c>
      <c r="E375" s="2">
        <v>261.45999999999998</v>
      </c>
      <c r="F375" s="2">
        <v>261.63</v>
      </c>
      <c r="G375" s="1">
        <v>108213904</v>
      </c>
      <c r="H375" s="8">
        <f t="shared" si="10"/>
        <v>266.834</v>
      </c>
      <c r="I375" s="19">
        <f t="shared" si="11"/>
        <v>265.48400000000004</v>
      </c>
      <c r="J375" s="8">
        <f>testdata[[#This Row],[SMA(20)]]+0.025*testdata[[#This Row],[SMA(20)]]</f>
        <v>273.50484999999998</v>
      </c>
      <c r="K375" s="8">
        <f>testdata[[#This Row],[SMA(20)]]-0.025*testdata[[#This Row],[SMA(20)]]</f>
        <v>260.16315000000003</v>
      </c>
      <c r="L375" s="16">
        <f>testdata[[#This Row],[close]]-testdata[[#This Row],[SMA(TW)]]</f>
        <v>-3.8540000000000418</v>
      </c>
      <c r="M375"/>
    </row>
    <row r="376" spans="1:13" x14ac:dyDescent="0.25">
      <c r="A376" s="6">
        <v>375</v>
      </c>
      <c r="B376" s="3">
        <v>43279</v>
      </c>
      <c r="C376" s="2">
        <v>261.57</v>
      </c>
      <c r="D376" s="2">
        <v>263.95999999999998</v>
      </c>
      <c r="E376" s="2">
        <v>260.79000000000002</v>
      </c>
      <c r="F376" s="2">
        <v>263.12</v>
      </c>
      <c r="G376" s="1">
        <v>78913504</v>
      </c>
      <c r="H376" s="8">
        <f t="shared" si="10"/>
        <v>266.89050000000003</v>
      </c>
      <c r="I376" s="19">
        <f t="shared" si="11"/>
        <v>265.79150000000004</v>
      </c>
      <c r="J376" s="8">
        <f>testdata[[#This Row],[SMA(20)]]+0.025*testdata[[#This Row],[SMA(20)]]</f>
        <v>273.56276250000002</v>
      </c>
      <c r="K376" s="8">
        <f>testdata[[#This Row],[SMA(20)]]-0.025*testdata[[#This Row],[SMA(20)]]</f>
        <v>260.21823750000004</v>
      </c>
      <c r="L376" s="16">
        <f>testdata[[#This Row],[close]]-testdata[[#This Row],[SMA(TW)]]</f>
        <v>-2.6715000000000373</v>
      </c>
      <c r="M376"/>
    </row>
    <row r="377" spans="1:13" x14ac:dyDescent="0.25">
      <c r="A377" s="6">
        <v>376</v>
      </c>
      <c r="B377" s="3">
        <v>43280</v>
      </c>
      <c r="C377" s="2">
        <v>264.32</v>
      </c>
      <c r="D377" s="2">
        <v>265.81</v>
      </c>
      <c r="E377" s="2">
        <v>263.37</v>
      </c>
      <c r="F377" s="2">
        <v>263.5</v>
      </c>
      <c r="G377" s="1">
        <v>100473760</v>
      </c>
      <c r="H377" s="8">
        <f t="shared" si="10"/>
        <v>266.83700000000005</v>
      </c>
      <c r="I377" s="19">
        <f t="shared" si="11"/>
        <v>266.10450000000003</v>
      </c>
      <c r="J377" s="8">
        <f>testdata[[#This Row],[SMA(20)]]+0.025*testdata[[#This Row],[SMA(20)]]</f>
        <v>273.50792500000006</v>
      </c>
      <c r="K377" s="8">
        <f>testdata[[#This Row],[SMA(20)]]-0.025*testdata[[#This Row],[SMA(20)]]</f>
        <v>260.16607500000003</v>
      </c>
      <c r="L377" s="16">
        <f>testdata[[#This Row],[close]]-testdata[[#This Row],[SMA(TW)]]</f>
        <v>-2.60450000000003</v>
      </c>
      <c r="M377"/>
    </row>
    <row r="378" spans="1:13" x14ac:dyDescent="0.25">
      <c r="A378" s="6">
        <v>377</v>
      </c>
      <c r="B378" s="3">
        <v>43283</v>
      </c>
      <c r="C378" s="2">
        <v>261.77999999999997</v>
      </c>
      <c r="D378" s="2">
        <v>264.24</v>
      </c>
      <c r="E378" s="2">
        <v>261.52</v>
      </c>
      <c r="F378" s="2">
        <v>264.06</v>
      </c>
      <c r="G378" s="1">
        <v>65431128</v>
      </c>
      <c r="H378" s="8">
        <f t="shared" si="10"/>
        <v>266.74900000000002</v>
      </c>
      <c r="I378" s="19">
        <f t="shared" si="11"/>
        <v>266.26750000000004</v>
      </c>
      <c r="J378" s="8">
        <f>testdata[[#This Row],[SMA(20)]]+0.025*testdata[[#This Row],[SMA(20)]]</f>
        <v>273.41772500000002</v>
      </c>
      <c r="K378" s="8">
        <f>testdata[[#This Row],[SMA(20)]]-0.025*testdata[[#This Row],[SMA(20)]]</f>
        <v>260.08027500000003</v>
      </c>
      <c r="L378" s="16">
        <f>testdata[[#This Row],[close]]-testdata[[#This Row],[SMA(TW)]]</f>
        <v>-2.2075000000000387</v>
      </c>
      <c r="M378"/>
    </row>
    <row r="379" spans="1:13" x14ac:dyDescent="0.25">
      <c r="A379" s="6">
        <v>378</v>
      </c>
      <c r="B379" s="3">
        <v>43284</v>
      </c>
      <c r="C379" s="2">
        <v>265.05</v>
      </c>
      <c r="D379" s="2">
        <v>265.14999999999998</v>
      </c>
      <c r="E379" s="2">
        <v>262.67</v>
      </c>
      <c r="F379" s="2">
        <v>263.13</v>
      </c>
      <c r="G379" s="1">
        <v>43432576</v>
      </c>
      <c r="H379" s="8">
        <f t="shared" si="10"/>
        <v>266.60450000000003</v>
      </c>
      <c r="I379" s="19">
        <f t="shared" si="11"/>
        <v>266.49000000000007</v>
      </c>
      <c r="J379" s="8">
        <f>testdata[[#This Row],[SMA(20)]]+0.025*testdata[[#This Row],[SMA(20)]]</f>
        <v>273.26961250000005</v>
      </c>
      <c r="K379" s="8">
        <f>testdata[[#This Row],[SMA(20)]]-0.025*testdata[[#This Row],[SMA(20)]]</f>
        <v>259.93938750000001</v>
      </c>
      <c r="L379" s="16">
        <f>testdata[[#This Row],[close]]-testdata[[#This Row],[SMA(TW)]]</f>
        <v>-3.3600000000000705</v>
      </c>
      <c r="M379"/>
    </row>
    <row r="380" spans="1:13" x14ac:dyDescent="0.25">
      <c r="A380" s="6">
        <v>379</v>
      </c>
      <c r="B380" s="3">
        <v>43286</v>
      </c>
      <c r="C380" s="2">
        <v>264.36</v>
      </c>
      <c r="D380" s="2">
        <v>265.35000000000002</v>
      </c>
      <c r="E380" s="2">
        <v>263.19</v>
      </c>
      <c r="F380" s="2">
        <v>265.27999999999997</v>
      </c>
      <c r="G380" s="1">
        <v>58606568</v>
      </c>
      <c r="H380" s="8">
        <f t="shared" si="10"/>
        <v>266.45650000000006</v>
      </c>
      <c r="I380" s="19">
        <f t="shared" si="11"/>
        <v>266.59250000000009</v>
      </c>
      <c r="J380" s="8">
        <f>testdata[[#This Row],[SMA(20)]]+0.025*testdata[[#This Row],[SMA(20)]]</f>
        <v>273.11791250000005</v>
      </c>
      <c r="K380" s="8">
        <f>testdata[[#This Row],[SMA(20)]]-0.025*testdata[[#This Row],[SMA(20)]]</f>
        <v>259.79508750000008</v>
      </c>
      <c r="L380" s="16">
        <f>testdata[[#This Row],[close]]-testdata[[#This Row],[SMA(TW)]]</f>
        <v>-1.3125000000001137</v>
      </c>
      <c r="M380"/>
    </row>
    <row r="381" spans="1:13" x14ac:dyDescent="0.25">
      <c r="A381" s="6">
        <v>380</v>
      </c>
      <c r="B381" s="3">
        <v>43287</v>
      </c>
      <c r="C381" s="2">
        <v>265.31</v>
      </c>
      <c r="D381" s="2">
        <v>267.93</v>
      </c>
      <c r="E381" s="2">
        <v>264.89</v>
      </c>
      <c r="F381" s="2">
        <v>267.52</v>
      </c>
      <c r="G381" s="1">
        <v>68456816</v>
      </c>
      <c r="H381" s="8">
        <f t="shared" si="10"/>
        <v>266.42200000000003</v>
      </c>
      <c r="I381" s="19">
        <f t="shared" si="11"/>
        <v>266.74599999999998</v>
      </c>
      <c r="J381" s="8">
        <f>testdata[[#This Row],[SMA(20)]]+0.025*testdata[[#This Row],[SMA(20)]]</f>
        <v>273.08255000000003</v>
      </c>
      <c r="K381" s="8">
        <f>testdata[[#This Row],[SMA(20)]]-0.025*testdata[[#This Row],[SMA(20)]]</f>
        <v>259.76145000000002</v>
      </c>
      <c r="L381" s="16">
        <f>testdata[[#This Row],[close]]-testdata[[#This Row],[SMA(TW)]]</f>
        <v>0.77400000000000091</v>
      </c>
      <c r="M381"/>
    </row>
    <row r="382" spans="1:13" x14ac:dyDescent="0.25">
      <c r="A382" s="6">
        <v>381</v>
      </c>
      <c r="B382" s="3">
        <v>43290</v>
      </c>
      <c r="C382" s="2">
        <v>268.62</v>
      </c>
      <c r="D382" s="2">
        <v>269.99</v>
      </c>
      <c r="E382" s="2">
        <v>268.57</v>
      </c>
      <c r="F382" s="2">
        <v>269.93</v>
      </c>
      <c r="G382" s="1">
        <v>52042820</v>
      </c>
      <c r="H382" s="8">
        <f t="shared" si="10"/>
        <v>266.46850000000006</v>
      </c>
      <c r="I382" s="19">
        <f t="shared" si="11"/>
        <v>266.74950000000001</v>
      </c>
      <c r="J382" s="8">
        <f>testdata[[#This Row],[SMA(20)]]+0.025*testdata[[#This Row],[SMA(20)]]</f>
        <v>273.13021250000008</v>
      </c>
      <c r="K382" s="8">
        <f>testdata[[#This Row],[SMA(20)]]-0.025*testdata[[#This Row],[SMA(20)]]</f>
        <v>259.80678750000004</v>
      </c>
      <c r="L382" s="16">
        <f>testdata[[#This Row],[close]]-testdata[[#This Row],[SMA(TW)]]</f>
        <v>3.180499999999995</v>
      </c>
      <c r="M382"/>
    </row>
    <row r="383" spans="1:13" x14ac:dyDescent="0.25">
      <c r="A383" s="6">
        <v>382</v>
      </c>
      <c r="B383" s="3">
        <v>43291</v>
      </c>
      <c r="C383" s="2">
        <v>270.43</v>
      </c>
      <c r="D383" s="2">
        <v>271.01</v>
      </c>
      <c r="E383" s="2">
        <v>270.11</v>
      </c>
      <c r="F383" s="2">
        <v>270.89999999999998</v>
      </c>
      <c r="G383" s="1">
        <v>53501064</v>
      </c>
      <c r="H383" s="8">
        <f t="shared" si="10"/>
        <v>266.5455</v>
      </c>
      <c r="I383" s="19">
        <f t="shared" si="11"/>
        <v>266.93300000000005</v>
      </c>
      <c r="J383" s="8">
        <f>testdata[[#This Row],[SMA(20)]]+0.025*testdata[[#This Row],[SMA(20)]]</f>
        <v>273.2091375</v>
      </c>
      <c r="K383" s="8">
        <f>testdata[[#This Row],[SMA(20)]]-0.025*testdata[[#This Row],[SMA(20)]]</f>
        <v>259.88186250000001</v>
      </c>
      <c r="L383" s="16">
        <f>testdata[[#This Row],[close]]-testdata[[#This Row],[SMA(TW)]]</f>
        <v>3.9669999999999277</v>
      </c>
      <c r="M383"/>
    </row>
    <row r="384" spans="1:13" x14ac:dyDescent="0.25">
      <c r="A384" s="6">
        <v>383</v>
      </c>
      <c r="B384" s="3">
        <v>43292</v>
      </c>
      <c r="C384" s="2">
        <v>269.2</v>
      </c>
      <c r="D384" s="2">
        <v>270.07</v>
      </c>
      <c r="E384" s="2">
        <v>268.58999999999997</v>
      </c>
      <c r="F384" s="2">
        <v>268.92</v>
      </c>
      <c r="G384" s="1">
        <v>79329656</v>
      </c>
      <c r="H384" s="8">
        <f t="shared" si="10"/>
        <v>266.50600000000003</v>
      </c>
      <c r="I384" s="19">
        <f t="shared" si="11"/>
        <v>266.834</v>
      </c>
      <c r="J384" s="8">
        <f>testdata[[#This Row],[SMA(20)]]+0.025*testdata[[#This Row],[SMA(20)]]</f>
        <v>273.16865000000001</v>
      </c>
      <c r="K384" s="8">
        <f>testdata[[#This Row],[SMA(20)]]-0.025*testdata[[#This Row],[SMA(20)]]</f>
        <v>259.84335000000004</v>
      </c>
      <c r="L384" s="16">
        <f>testdata[[#This Row],[close]]-testdata[[#This Row],[SMA(TW)]]</f>
        <v>2.0860000000000127</v>
      </c>
      <c r="M384"/>
    </row>
    <row r="385" spans="1:13" x14ac:dyDescent="0.25">
      <c r="A385" s="6">
        <v>384</v>
      </c>
      <c r="B385" s="3">
        <v>43293</v>
      </c>
      <c r="C385" s="2">
        <v>270.3</v>
      </c>
      <c r="D385" s="2">
        <v>271.42</v>
      </c>
      <c r="E385" s="2">
        <v>269.64</v>
      </c>
      <c r="F385" s="2">
        <v>271.36</v>
      </c>
      <c r="G385" s="1">
        <v>61899772</v>
      </c>
      <c r="H385" s="8">
        <f t="shared" si="10"/>
        <v>266.63150000000002</v>
      </c>
      <c r="I385" s="19">
        <f t="shared" si="11"/>
        <v>266.89050000000003</v>
      </c>
      <c r="J385" s="8">
        <f>testdata[[#This Row],[SMA(20)]]+0.025*testdata[[#This Row],[SMA(20)]]</f>
        <v>273.29728750000004</v>
      </c>
      <c r="K385" s="8">
        <f>testdata[[#This Row],[SMA(20)]]-0.025*testdata[[#This Row],[SMA(20)]]</f>
        <v>259.9657125</v>
      </c>
      <c r="L385" s="16">
        <f>testdata[[#This Row],[close]]-testdata[[#This Row],[SMA(TW)]]</f>
        <v>4.4694999999999823</v>
      </c>
      <c r="M385"/>
    </row>
    <row r="386" spans="1:13" x14ac:dyDescent="0.25">
      <c r="A386" s="6">
        <v>385</v>
      </c>
      <c r="B386" s="3">
        <v>43294</v>
      </c>
      <c r="C386" s="2">
        <v>271.16000000000003</v>
      </c>
      <c r="D386" s="2">
        <v>271.89999999999998</v>
      </c>
      <c r="E386" s="2">
        <v>270.67</v>
      </c>
      <c r="F386" s="2">
        <v>271.57</v>
      </c>
      <c r="G386" s="1">
        <v>49659024</v>
      </c>
      <c r="H386" s="8">
        <f t="shared" si="10"/>
        <v>266.73349999999994</v>
      </c>
      <c r="I386" s="19">
        <f t="shared" si="11"/>
        <v>266.83700000000005</v>
      </c>
      <c r="J386" s="8">
        <f>testdata[[#This Row],[SMA(20)]]+0.025*testdata[[#This Row],[SMA(20)]]</f>
        <v>273.40183749999994</v>
      </c>
      <c r="K386" s="8">
        <f>testdata[[#This Row],[SMA(20)]]-0.025*testdata[[#This Row],[SMA(20)]]</f>
        <v>260.06516249999993</v>
      </c>
      <c r="L386" s="16">
        <f>testdata[[#This Row],[close]]-testdata[[#This Row],[SMA(TW)]]</f>
        <v>4.7329999999999472</v>
      </c>
      <c r="M386"/>
    </row>
    <row r="387" spans="1:13" x14ac:dyDescent="0.25">
      <c r="A387" s="6">
        <v>386</v>
      </c>
      <c r="B387" s="3">
        <v>43297</v>
      </c>
      <c r="C387" s="2">
        <v>271.62</v>
      </c>
      <c r="D387" s="2">
        <v>271.77999999999997</v>
      </c>
      <c r="E387" s="2">
        <v>270.83999999999997</v>
      </c>
      <c r="F387" s="2">
        <v>271.33</v>
      </c>
      <c r="G387" s="1">
        <v>49624096</v>
      </c>
      <c r="H387" s="8">
        <f t="shared" si="10"/>
        <v>266.84099999999995</v>
      </c>
      <c r="I387" s="19">
        <f t="shared" si="11"/>
        <v>266.74900000000002</v>
      </c>
      <c r="J387" s="8">
        <f>testdata[[#This Row],[SMA(20)]]+0.025*testdata[[#This Row],[SMA(20)]]</f>
        <v>273.51202499999994</v>
      </c>
      <c r="K387" s="8">
        <f>testdata[[#This Row],[SMA(20)]]-0.025*testdata[[#This Row],[SMA(20)]]</f>
        <v>260.16997499999997</v>
      </c>
      <c r="L387" s="16">
        <f>testdata[[#This Row],[close]]-testdata[[#This Row],[SMA(TW)]]</f>
        <v>4.5809999999999604</v>
      </c>
      <c r="M387"/>
    </row>
    <row r="388" spans="1:13" x14ac:dyDescent="0.25">
      <c r="A388" s="6">
        <v>387</v>
      </c>
      <c r="B388" s="3">
        <v>43298</v>
      </c>
      <c r="C388" s="2">
        <v>270.48</v>
      </c>
      <c r="D388" s="2">
        <v>272.85000000000002</v>
      </c>
      <c r="E388" s="2">
        <v>270.43</v>
      </c>
      <c r="F388" s="2">
        <v>272.43</v>
      </c>
      <c r="G388" s="1">
        <v>53860032</v>
      </c>
      <c r="H388" s="8">
        <f t="shared" si="10"/>
        <v>267.03099999999995</v>
      </c>
      <c r="I388" s="19">
        <f t="shared" si="11"/>
        <v>266.60450000000003</v>
      </c>
      <c r="J388" s="8">
        <f>testdata[[#This Row],[SMA(20)]]+0.025*testdata[[#This Row],[SMA(20)]]</f>
        <v>273.70677499999994</v>
      </c>
      <c r="K388" s="8">
        <f>testdata[[#This Row],[SMA(20)]]-0.025*testdata[[#This Row],[SMA(20)]]</f>
        <v>260.35522499999996</v>
      </c>
      <c r="L388" s="16">
        <f>testdata[[#This Row],[close]]-testdata[[#This Row],[SMA(TW)]]</f>
        <v>5.8254999999999768</v>
      </c>
      <c r="M388"/>
    </row>
    <row r="389" spans="1:13" x14ac:dyDescent="0.25">
      <c r="A389" s="6">
        <v>388</v>
      </c>
      <c r="B389" s="3">
        <v>43299</v>
      </c>
      <c r="C389" s="2">
        <v>272.51</v>
      </c>
      <c r="D389" s="2">
        <v>273.12</v>
      </c>
      <c r="E389" s="2">
        <v>272.02999999999997</v>
      </c>
      <c r="F389" s="2">
        <v>273</v>
      </c>
      <c r="G389" s="1">
        <v>45910016</v>
      </c>
      <c r="H389" s="8">
        <f t="shared" si="10"/>
        <v>267.30100000000004</v>
      </c>
      <c r="I389" s="19">
        <f t="shared" si="11"/>
        <v>266.45650000000006</v>
      </c>
      <c r="J389" s="8">
        <f>testdata[[#This Row],[SMA(20)]]+0.025*testdata[[#This Row],[SMA(20)]]</f>
        <v>273.98352500000004</v>
      </c>
      <c r="K389" s="8">
        <f>testdata[[#This Row],[SMA(20)]]-0.025*testdata[[#This Row],[SMA(20)]]</f>
        <v>260.61847500000005</v>
      </c>
      <c r="L389" s="16">
        <f>testdata[[#This Row],[close]]-testdata[[#This Row],[SMA(TW)]]</f>
        <v>6.5434999999999377</v>
      </c>
      <c r="M389"/>
    </row>
    <row r="390" spans="1:13" x14ac:dyDescent="0.25">
      <c r="A390" s="6">
        <v>389</v>
      </c>
      <c r="B390" s="3">
        <v>43300</v>
      </c>
      <c r="C390" s="2">
        <v>272.27</v>
      </c>
      <c r="D390" s="2">
        <v>272.69</v>
      </c>
      <c r="E390" s="2">
        <v>271.45</v>
      </c>
      <c r="F390" s="2">
        <v>271.97000000000003</v>
      </c>
      <c r="G390" s="1">
        <v>63225212</v>
      </c>
      <c r="H390" s="8">
        <f t="shared" si="10"/>
        <v>267.49650000000003</v>
      </c>
      <c r="I390" s="19">
        <f t="shared" si="11"/>
        <v>266.42200000000003</v>
      </c>
      <c r="J390" s="8">
        <f>testdata[[#This Row],[SMA(20)]]+0.025*testdata[[#This Row],[SMA(20)]]</f>
        <v>274.18391250000002</v>
      </c>
      <c r="K390" s="8">
        <f>testdata[[#This Row],[SMA(20)]]-0.025*testdata[[#This Row],[SMA(20)]]</f>
        <v>260.80908750000003</v>
      </c>
      <c r="L390" s="16">
        <f>testdata[[#This Row],[close]]-testdata[[#This Row],[SMA(TW)]]</f>
        <v>5.5480000000000018</v>
      </c>
      <c r="M390"/>
    </row>
    <row r="391" spans="1:13" x14ac:dyDescent="0.25">
      <c r="A391" s="6">
        <v>390</v>
      </c>
      <c r="B391" s="3">
        <v>43301</v>
      </c>
      <c r="C391" s="2">
        <v>271.75</v>
      </c>
      <c r="D391" s="2">
        <v>272.44</v>
      </c>
      <c r="E391" s="2">
        <v>271.48</v>
      </c>
      <c r="F391" s="2">
        <v>271.66000000000003</v>
      </c>
      <c r="G391" s="1">
        <v>84804656</v>
      </c>
      <c r="H391" s="8">
        <f t="shared" si="10"/>
        <v>267.76050000000004</v>
      </c>
      <c r="I391" s="19">
        <f t="shared" si="11"/>
        <v>266.46850000000006</v>
      </c>
      <c r="J391" s="8">
        <f>testdata[[#This Row],[SMA(20)]]+0.025*testdata[[#This Row],[SMA(20)]]</f>
        <v>274.45451250000002</v>
      </c>
      <c r="K391" s="8">
        <f>testdata[[#This Row],[SMA(20)]]-0.025*testdata[[#This Row],[SMA(20)]]</f>
        <v>261.06648750000005</v>
      </c>
      <c r="L391" s="16">
        <f>testdata[[#This Row],[close]]-testdata[[#This Row],[SMA(TW)]]</f>
        <v>5.1914999999999623</v>
      </c>
      <c r="M391"/>
    </row>
    <row r="392" spans="1:13" x14ac:dyDescent="0.25">
      <c r="A392" s="6">
        <v>391</v>
      </c>
      <c r="B392" s="3">
        <v>43304</v>
      </c>
      <c r="C392" s="2">
        <v>271.44</v>
      </c>
      <c r="D392" s="2">
        <v>272.39</v>
      </c>
      <c r="E392" s="2">
        <v>271.06</v>
      </c>
      <c r="F392" s="2">
        <v>272.16000000000003</v>
      </c>
      <c r="G392" s="1">
        <v>48436568</v>
      </c>
      <c r="H392" s="8">
        <f t="shared" si="10"/>
        <v>268.02550000000002</v>
      </c>
      <c r="I392" s="19">
        <f t="shared" si="11"/>
        <v>266.5455</v>
      </c>
      <c r="J392" s="8">
        <f>testdata[[#This Row],[SMA(20)]]+0.025*testdata[[#This Row],[SMA(20)]]</f>
        <v>274.72613750000005</v>
      </c>
      <c r="K392" s="8">
        <f>testdata[[#This Row],[SMA(20)]]-0.025*testdata[[#This Row],[SMA(20)]]</f>
        <v>261.32486249999999</v>
      </c>
      <c r="L392" s="16">
        <f>testdata[[#This Row],[close]]-testdata[[#This Row],[SMA(TW)]]</f>
        <v>5.6145000000000209</v>
      </c>
      <c r="M392"/>
    </row>
    <row r="393" spans="1:13" x14ac:dyDescent="0.25">
      <c r="A393" s="6">
        <v>392</v>
      </c>
      <c r="B393" s="3">
        <v>43305</v>
      </c>
      <c r="C393" s="2">
        <v>273.70999999999998</v>
      </c>
      <c r="D393" s="2">
        <v>274.45999999999998</v>
      </c>
      <c r="E393" s="2">
        <v>272.58</v>
      </c>
      <c r="F393" s="2">
        <v>273.52999999999997</v>
      </c>
      <c r="G393" s="1">
        <v>70035320</v>
      </c>
      <c r="H393" s="8">
        <f t="shared" si="10"/>
        <v>268.54049999999995</v>
      </c>
      <c r="I393" s="19">
        <f t="shared" si="11"/>
        <v>266.50600000000003</v>
      </c>
      <c r="J393" s="8">
        <f>testdata[[#This Row],[SMA(20)]]+0.025*testdata[[#This Row],[SMA(20)]]</f>
        <v>275.25401249999993</v>
      </c>
      <c r="K393" s="8">
        <f>testdata[[#This Row],[SMA(20)]]-0.025*testdata[[#This Row],[SMA(20)]]</f>
        <v>261.82698749999997</v>
      </c>
      <c r="L393" s="16">
        <f>testdata[[#This Row],[close]]-testdata[[#This Row],[SMA(TW)]]</f>
        <v>7.0239999999999441</v>
      </c>
      <c r="M393"/>
    </row>
    <row r="394" spans="1:13" x14ac:dyDescent="0.25">
      <c r="A394" s="6">
        <v>393</v>
      </c>
      <c r="B394" s="3">
        <v>43306</v>
      </c>
      <c r="C394" s="2">
        <v>273.26</v>
      </c>
      <c r="D394" s="2">
        <v>276.22000000000003</v>
      </c>
      <c r="E394" s="2">
        <v>273.20999999999998</v>
      </c>
      <c r="F394" s="2">
        <v>275.87</v>
      </c>
      <c r="G394" s="1">
        <v>81211824</v>
      </c>
      <c r="H394" s="8">
        <f t="shared" si="10"/>
        <v>269.14350000000002</v>
      </c>
      <c r="I394" s="19">
        <f t="shared" si="11"/>
        <v>266.63150000000002</v>
      </c>
      <c r="J394" s="8">
        <f>testdata[[#This Row],[SMA(20)]]+0.025*testdata[[#This Row],[SMA(20)]]</f>
        <v>275.87208750000002</v>
      </c>
      <c r="K394" s="8">
        <f>testdata[[#This Row],[SMA(20)]]-0.025*testdata[[#This Row],[SMA(20)]]</f>
        <v>262.41491250000001</v>
      </c>
      <c r="L394" s="16">
        <f>testdata[[#This Row],[close]]-testdata[[#This Row],[SMA(TW)]]</f>
        <v>9.2384999999999877</v>
      </c>
      <c r="M394"/>
    </row>
    <row r="395" spans="1:13" x14ac:dyDescent="0.25">
      <c r="A395" s="6">
        <v>394</v>
      </c>
      <c r="B395" s="3">
        <v>43307</v>
      </c>
      <c r="C395" s="2">
        <v>275.08</v>
      </c>
      <c r="D395" s="2">
        <v>275.95999999999998</v>
      </c>
      <c r="E395" s="2">
        <v>274.97000000000003</v>
      </c>
      <c r="F395" s="2">
        <v>275.20999999999998</v>
      </c>
      <c r="G395" s="1">
        <v>59629476</v>
      </c>
      <c r="H395" s="8">
        <f t="shared" si="10"/>
        <v>269.82249999999999</v>
      </c>
      <c r="I395" s="19">
        <f t="shared" si="11"/>
        <v>266.73349999999994</v>
      </c>
      <c r="J395" s="8">
        <f>testdata[[#This Row],[SMA(20)]]+0.025*testdata[[#This Row],[SMA(20)]]</f>
        <v>276.5680625</v>
      </c>
      <c r="K395" s="8">
        <f>testdata[[#This Row],[SMA(20)]]-0.025*testdata[[#This Row],[SMA(20)]]</f>
        <v>263.07693749999999</v>
      </c>
      <c r="L395" s="16">
        <f>testdata[[#This Row],[close]]-testdata[[#This Row],[SMA(TW)]]</f>
        <v>8.4765000000000441</v>
      </c>
      <c r="M395"/>
    </row>
    <row r="396" spans="1:13" x14ac:dyDescent="0.25">
      <c r="A396" s="6">
        <v>395</v>
      </c>
      <c r="B396" s="3">
        <v>43308</v>
      </c>
      <c r="C396" s="2">
        <v>275.57</v>
      </c>
      <c r="D396" s="2">
        <v>275.68</v>
      </c>
      <c r="E396" s="2">
        <v>272.33999999999997</v>
      </c>
      <c r="F396" s="2">
        <v>273.35000000000002</v>
      </c>
      <c r="G396" s="1">
        <v>79050080</v>
      </c>
      <c r="H396" s="8">
        <f t="shared" si="10"/>
        <v>270.33399999999995</v>
      </c>
      <c r="I396" s="19">
        <f t="shared" si="11"/>
        <v>266.84099999999995</v>
      </c>
      <c r="J396" s="8">
        <f>testdata[[#This Row],[SMA(20)]]+0.025*testdata[[#This Row],[SMA(20)]]</f>
        <v>277.09234999999995</v>
      </c>
      <c r="K396" s="8">
        <f>testdata[[#This Row],[SMA(20)]]-0.025*testdata[[#This Row],[SMA(20)]]</f>
        <v>263.57564999999994</v>
      </c>
      <c r="L396" s="16">
        <f>testdata[[#This Row],[close]]-testdata[[#This Row],[SMA(TW)]]</f>
        <v>6.5090000000000714</v>
      </c>
      <c r="M396"/>
    </row>
    <row r="397" spans="1:13" x14ac:dyDescent="0.25">
      <c r="A397" s="6">
        <v>396</v>
      </c>
      <c r="B397" s="3">
        <v>43311</v>
      </c>
      <c r="C397" s="2">
        <v>273.44</v>
      </c>
      <c r="D397" s="2">
        <v>273.61</v>
      </c>
      <c r="E397" s="2">
        <v>271.35000000000002</v>
      </c>
      <c r="F397" s="2">
        <v>271.92</v>
      </c>
      <c r="G397" s="1">
        <v>65624404</v>
      </c>
      <c r="H397" s="8">
        <f t="shared" si="10"/>
        <v>270.755</v>
      </c>
      <c r="I397" s="19">
        <f t="shared" si="11"/>
        <v>267.03099999999995</v>
      </c>
      <c r="J397" s="8">
        <f>testdata[[#This Row],[SMA(20)]]+0.025*testdata[[#This Row],[SMA(20)]]</f>
        <v>277.52387499999998</v>
      </c>
      <c r="K397" s="8">
        <f>testdata[[#This Row],[SMA(20)]]-0.025*testdata[[#This Row],[SMA(20)]]</f>
        <v>263.98612500000002</v>
      </c>
      <c r="L397" s="16">
        <f>testdata[[#This Row],[close]]-testdata[[#This Row],[SMA(TW)]]</f>
        <v>4.8890000000000668</v>
      </c>
      <c r="M397"/>
    </row>
    <row r="398" spans="1:13" x14ac:dyDescent="0.25">
      <c r="A398" s="6">
        <v>397</v>
      </c>
      <c r="B398" s="3">
        <v>43312</v>
      </c>
      <c r="C398" s="2">
        <v>272.76</v>
      </c>
      <c r="D398" s="2">
        <v>273.93</v>
      </c>
      <c r="E398" s="2">
        <v>272.33999999999997</v>
      </c>
      <c r="F398" s="2">
        <v>273.26</v>
      </c>
      <c r="G398" s="1">
        <v>70594928</v>
      </c>
      <c r="H398" s="8">
        <f t="shared" si="10"/>
        <v>271.21500000000003</v>
      </c>
      <c r="I398" s="19">
        <f t="shared" si="11"/>
        <v>267.30100000000004</v>
      </c>
      <c r="J398" s="8">
        <f>testdata[[#This Row],[SMA(20)]]+0.025*testdata[[#This Row],[SMA(20)]]</f>
        <v>277.99537500000002</v>
      </c>
      <c r="K398" s="8">
        <f>testdata[[#This Row],[SMA(20)]]-0.025*testdata[[#This Row],[SMA(20)]]</f>
        <v>264.43462500000004</v>
      </c>
      <c r="L398" s="16">
        <f>testdata[[#This Row],[close]]-testdata[[#This Row],[SMA(TW)]]</f>
        <v>5.9589999999999463</v>
      </c>
      <c r="M398"/>
    </row>
    <row r="399" spans="1:13" x14ac:dyDescent="0.25">
      <c r="A399" s="6">
        <v>398</v>
      </c>
      <c r="B399" s="3">
        <v>43313</v>
      </c>
      <c r="C399" s="2">
        <v>273.49</v>
      </c>
      <c r="D399" s="2">
        <v>274.04000000000002</v>
      </c>
      <c r="E399" s="2">
        <v>272.10000000000002</v>
      </c>
      <c r="F399" s="2">
        <v>272.81</v>
      </c>
      <c r="G399" s="1">
        <v>55443260</v>
      </c>
      <c r="H399" s="8">
        <f t="shared" si="10"/>
        <v>271.69900000000001</v>
      </c>
      <c r="I399" s="19">
        <f t="shared" si="11"/>
        <v>267.49650000000003</v>
      </c>
      <c r="J399" s="8">
        <f>testdata[[#This Row],[SMA(20)]]+0.025*testdata[[#This Row],[SMA(20)]]</f>
        <v>278.49147500000004</v>
      </c>
      <c r="K399" s="8">
        <f>testdata[[#This Row],[SMA(20)]]-0.025*testdata[[#This Row],[SMA(20)]]</f>
        <v>264.90652499999999</v>
      </c>
      <c r="L399" s="16">
        <f>testdata[[#This Row],[close]]-testdata[[#This Row],[SMA(TW)]]</f>
        <v>5.3134999999999764</v>
      </c>
      <c r="M399"/>
    </row>
    <row r="400" spans="1:13" x14ac:dyDescent="0.25">
      <c r="A400" s="6">
        <v>399</v>
      </c>
      <c r="B400" s="3">
        <v>43314</v>
      </c>
      <c r="C400" s="2">
        <v>271.38</v>
      </c>
      <c r="D400" s="2">
        <v>274.48</v>
      </c>
      <c r="E400" s="2">
        <v>271.14999999999998</v>
      </c>
      <c r="F400" s="2">
        <v>274.29000000000002</v>
      </c>
      <c r="G400" s="1">
        <v>65298924</v>
      </c>
      <c r="H400" s="8">
        <f t="shared" si="10"/>
        <v>272.14950000000005</v>
      </c>
      <c r="I400" s="19">
        <f t="shared" si="11"/>
        <v>267.76050000000004</v>
      </c>
      <c r="J400" s="8">
        <f>testdata[[#This Row],[SMA(20)]]+0.025*testdata[[#This Row],[SMA(20)]]</f>
        <v>278.95323750000006</v>
      </c>
      <c r="K400" s="8">
        <f>testdata[[#This Row],[SMA(20)]]-0.025*testdata[[#This Row],[SMA(20)]]</f>
        <v>265.34576250000003</v>
      </c>
      <c r="L400" s="16">
        <f>testdata[[#This Row],[close]]-testdata[[#This Row],[SMA(TW)]]</f>
        <v>6.5294999999999845</v>
      </c>
      <c r="M400"/>
    </row>
    <row r="401" spans="1:13" x14ac:dyDescent="0.25">
      <c r="A401" s="6">
        <v>400</v>
      </c>
      <c r="B401" s="3">
        <v>43315</v>
      </c>
      <c r="C401" s="2">
        <v>274.43</v>
      </c>
      <c r="D401" s="2">
        <v>275.52</v>
      </c>
      <c r="E401" s="2">
        <v>274.23</v>
      </c>
      <c r="F401" s="2">
        <v>275.47000000000003</v>
      </c>
      <c r="G401" s="1">
        <v>55527740</v>
      </c>
      <c r="H401" s="8">
        <f t="shared" si="10"/>
        <v>272.54699999999997</v>
      </c>
      <c r="I401" s="19">
        <f t="shared" si="11"/>
        <v>268.02550000000002</v>
      </c>
      <c r="J401" s="8">
        <f>testdata[[#This Row],[SMA(20)]]+0.025*testdata[[#This Row],[SMA(20)]]</f>
        <v>279.36067499999996</v>
      </c>
      <c r="K401" s="8">
        <f>testdata[[#This Row],[SMA(20)]]-0.025*testdata[[#This Row],[SMA(20)]]</f>
        <v>265.73332499999998</v>
      </c>
      <c r="L401" s="16">
        <f>testdata[[#This Row],[close]]-testdata[[#This Row],[SMA(TW)]]</f>
        <v>7.444500000000005</v>
      </c>
      <c r="M401"/>
    </row>
    <row r="402" spans="1:13" x14ac:dyDescent="0.25">
      <c r="A402" s="6">
        <v>401</v>
      </c>
      <c r="B402" s="3">
        <v>43318</v>
      </c>
      <c r="C402" s="2">
        <v>275.51</v>
      </c>
      <c r="D402" s="2">
        <v>276.82</v>
      </c>
      <c r="E402" s="2">
        <v>275.08</v>
      </c>
      <c r="F402" s="2">
        <v>276.48</v>
      </c>
      <c r="G402" s="1">
        <v>40564136</v>
      </c>
      <c r="H402" s="8">
        <f t="shared" si="10"/>
        <v>272.87450000000001</v>
      </c>
      <c r="I402" s="19">
        <f t="shared" si="11"/>
        <v>268.54049999999995</v>
      </c>
      <c r="J402" s="8">
        <f>testdata[[#This Row],[SMA(20)]]+0.025*testdata[[#This Row],[SMA(20)]]</f>
        <v>279.69636250000002</v>
      </c>
      <c r="K402" s="8">
        <f>testdata[[#This Row],[SMA(20)]]-0.025*testdata[[#This Row],[SMA(20)]]</f>
        <v>266.0526375</v>
      </c>
      <c r="L402" s="16">
        <f>testdata[[#This Row],[close]]-testdata[[#This Row],[SMA(TW)]]</f>
        <v>7.9395000000000664</v>
      </c>
      <c r="M402"/>
    </row>
    <row r="403" spans="1:13" x14ac:dyDescent="0.25">
      <c r="A403" s="6">
        <v>402</v>
      </c>
      <c r="B403" s="3">
        <v>43319</v>
      </c>
      <c r="C403" s="2">
        <v>277.20999999999998</v>
      </c>
      <c r="D403" s="2">
        <v>277.81</v>
      </c>
      <c r="E403" s="2">
        <v>277.06</v>
      </c>
      <c r="F403" s="2">
        <v>277.39</v>
      </c>
      <c r="G403" s="1">
        <v>44471960</v>
      </c>
      <c r="H403" s="8">
        <f t="shared" si="10"/>
        <v>273.19900000000001</v>
      </c>
      <c r="I403" s="19">
        <f t="shared" si="11"/>
        <v>269.14350000000002</v>
      </c>
      <c r="J403" s="8">
        <f>testdata[[#This Row],[SMA(20)]]+0.025*testdata[[#This Row],[SMA(20)]]</f>
        <v>280.028975</v>
      </c>
      <c r="K403" s="8">
        <f>testdata[[#This Row],[SMA(20)]]-0.025*testdata[[#This Row],[SMA(20)]]</f>
        <v>266.36902500000002</v>
      </c>
      <c r="L403" s="16">
        <f>testdata[[#This Row],[close]]-testdata[[#This Row],[SMA(TW)]]</f>
        <v>8.2464999999999691</v>
      </c>
      <c r="M403"/>
    </row>
    <row r="404" spans="1:13" x14ac:dyDescent="0.25">
      <c r="A404" s="6">
        <v>403</v>
      </c>
      <c r="B404" s="3">
        <v>43320</v>
      </c>
      <c r="C404" s="2">
        <v>277.20999999999998</v>
      </c>
      <c r="D404" s="2">
        <v>277.70999999999998</v>
      </c>
      <c r="E404" s="2">
        <v>276.77</v>
      </c>
      <c r="F404" s="2">
        <v>277.27</v>
      </c>
      <c r="G404" s="1">
        <v>43357916</v>
      </c>
      <c r="H404" s="8">
        <f t="shared" si="10"/>
        <v>273.61649999999997</v>
      </c>
      <c r="I404" s="19">
        <f t="shared" si="11"/>
        <v>269.82249999999999</v>
      </c>
      <c r="J404" s="8">
        <f>testdata[[#This Row],[SMA(20)]]+0.025*testdata[[#This Row],[SMA(20)]]</f>
        <v>280.45691249999999</v>
      </c>
      <c r="K404" s="8">
        <f>testdata[[#This Row],[SMA(20)]]-0.025*testdata[[#This Row],[SMA(20)]]</f>
        <v>266.77608749999996</v>
      </c>
      <c r="L404" s="16">
        <f>testdata[[#This Row],[close]]-testdata[[#This Row],[SMA(TW)]]</f>
        <v>7.4474999999999909</v>
      </c>
      <c r="M404"/>
    </row>
    <row r="405" spans="1:13" x14ac:dyDescent="0.25">
      <c r="A405" s="6">
        <v>404</v>
      </c>
      <c r="B405" s="3">
        <v>43321</v>
      </c>
      <c r="C405" s="2">
        <v>277.33999999999997</v>
      </c>
      <c r="D405" s="2">
        <v>277.77</v>
      </c>
      <c r="E405" s="2">
        <v>276.74</v>
      </c>
      <c r="F405" s="2">
        <v>276.89999999999998</v>
      </c>
      <c r="G405" s="1">
        <v>36771464</v>
      </c>
      <c r="H405" s="8">
        <f t="shared" si="10"/>
        <v>273.89349999999996</v>
      </c>
      <c r="I405" s="19">
        <f t="shared" si="11"/>
        <v>270.33399999999995</v>
      </c>
      <c r="J405" s="8">
        <f>testdata[[#This Row],[SMA(20)]]+0.025*testdata[[#This Row],[SMA(20)]]</f>
        <v>280.74083749999994</v>
      </c>
      <c r="K405" s="8">
        <f>testdata[[#This Row],[SMA(20)]]-0.025*testdata[[#This Row],[SMA(20)]]</f>
        <v>267.04616249999998</v>
      </c>
      <c r="L405" s="16">
        <f>testdata[[#This Row],[close]]-testdata[[#This Row],[SMA(TW)]]</f>
        <v>6.5660000000000309</v>
      </c>
      <c r="M405"/>
    </row>
    <row r="406" spans="1:13" x14ac:dyDescent="0.25">
      <c r="A406" s="6">
        <v>405</v>
      </c>
      <c r="B406" s="3">
        <v>43322</v>
      </c>
      <c r="C406" s="2">
        <v>275.32</v>
      </c>
      <c r="D406" s="2">
        <v>275.91000000000003</v>
      </c>
      <c r="E406" s="2">
        <v>274.26</v>
      </c>
      <c r="F406" s="2">
        <v>275.04000000000002</v>
      </c>
      <c r="G406" s="1">
        <v>79351592</v>
      </c>
      <c r="H406" s="8">
        <f t="shared" ref="H406:H469" si="12">AVERAGE(F387:F406)</f>
        <v>274.06699999999995</v>
      </c>
      <c r="I406" s="19">
        <f t="shared" si="11"/>
        <v>270.755</v>
      </c>
      <c r="J406" s="8">
        <f>testdata[[#This Row],[SMA(20)]]+0.025*testdata[[#This Row],[SMA(20)]]</f>
        <v>280.91867499999995</v>
      </c>
      <c r="K406" s="8">
        <f>testdata[[#This Row],[SMA(20)]]-0.025*testdata[[#This Row],[SMA(20)]]</f>
        <v>267.21532499999995</v>
      </c>
      <c r="L406" s="16">
        <f>testdata[[#This Row],[close]]-testdata[[#This Row],[SMA(TW)]]</f>
        <v>4.285000000000025</v>
      </c>
      <c r="M406"/>
    </row>
    <row r="407" spans="1:13" x14ac:dyDescent="0.25">
      <c r="A407" s="6">
        <v>406</v>
      </c>
      <c r="B407" s="3">
        <v>43325</v>
      </c>
      <c r="C407" s="2">
        <v>275.33999999999997</v>
      </c>
      <c r="D407" s="2">
        <v>276.01</v>
      </c>
      <c r="E407" s="2">
        <v>273.69</v>
      </c>
      <c r="F407" s="2">
        <v>274.01</v>
      </c>
      <c r="G407" s="1">
        <v>67673568</v>
      </c>
      <c r="H407" s="8">
        <f t="shared" si="12"/>
        <v>274.20099999999996</v>
      </c>
      <c r="I407" s="19">
        <f t="shared" si="11"/>
        <v>271.21500000000003</v>
      </c>
      <c r="J407" s="8">
        <f>testdata[[#This Row],[SMA(20)]]+0.025*testdata[[#This Row],[SMA(20)]]</f>
        <v>281.05602499999998</v>
      </c>
      <c r="K407" s="8">
        <f>testdata[[#This Row],[SMA(20)]]-0.025*testdata[[#This Row],[SMA(20)]]</f>
        <v>267.34597499999995</v>
      </c>
      <c r="L407" s="16">
        <f>testdata[[#This Row],[close]]-testdata[[#This Row],[SMA(TW)]]</f>
        <v>2.7949999999999591</v>
      </c>
      <c r="M407"/>
    </row>
    <row r="408" spans="1:13" x14ac:dyDescent="0.25">
      <c r="A408" s="6">
        <v>407</v>
      </c>
      <c r="B408" s="3">
        <v>43326</v>
      </c>
      <c r="C408" s="2">
        <v>274.81</v>
      </c>
      <c r="D408" s="2">
        <v>276.02</v>
      </c>
      <c r="E408" s="2">
        <v>274.38</v>
      </c>
      <c r="F408" s="2">
        <v>275.76</v>
      </c>
      <c r="G408" s="1">
        <v>45136396</v>
      </c>
      <c r="H408" s="8">
        <f t="shared" si="12"/>
        <v>274.36749999999995</v>
      </c>
      <c r="I408" s="19">
        <f t="shared" si="11"/>
        <v>271.69900000000001</v>
      </c>
      <c r="J408" s="8">
        <f>testdata[[#This Row],[SMA(20)]]+0.025*testdata[[#This Row],[SMA(20)]]</f>
        <v>281.22668749999997</v>
      </c>
      <c r="K408" s="8">
        <f>testdata[[#This Row],[SMA(20)]]-0.025*testdata[[#This Row],[SMA(20)]]</f>
        <v>267.50831249999993</v>
      </c>
      <c r="L408" s="16">
        <f>testdata[[#This Row],[close]]-testdata[[#This Row],[SMA(TW)]]</f>
        <v>4.0609999999999786</v>
      </c>
      <c r="M408"/>
    </row>
    <row r="409" spans="1:13" x14ac:dyDescent="0.25">
      <c r="A409" s="6">
        <v>408</v>
      </c>
      <c r="B409" s="3">
        <v>43327</v>
      </c>
      <c r="C409" s="2">
        <v>274.27999999999997</v>
      </c>
      <c r="D409" s="2">
        <v>274.44</v>
      </c>
      <c r="E409" s="2">
        <v>272.13</v>
      </c>
      <c r="F409" s="2">
        <v>273.7</v>
      </c>
      <c r="G409" s="1">
        <v>105964064</v>
      </c>
      <c r="H409" s="8">
        <f t="shared" si="12"/>
        <v>274.40249999999997</v>
      </c>
      <c r="I409" s="19">
        <f t="shared" si="11"/>
        <v>272.14950000000005</v>
      </c>
      <c r="J409" s="8">
        <f>testdata[[#This Row],[SMA(20)]]+0.025*testdata[[#This Row],[SMA(20)]]</f>
        <v>281.2625625</v>
      </c>
      <c r="K409" s="8">
        <f>testdata[[#This Row],[SMA(20)]]-0.025*testdata[[#This Row],[SMA(20)]]</f>
        <v>267.54243749999995</v>
      </c>
      <c r="L409" s="16">
        <f>testdata[[#This Row],[close]]-testdata[[#This Row],[SMA(TW)]]</f>
        <v>1.5504999999999427</v>
      </c>
      <c r="M409"/>
    </row>
    <row r="410" spans="1:13" x14ac:dyDescent="0.25">
      <c r="A410" s="6">
        <v>409</v>
      </c>
      <c r="B410" s="3">
        <v>43328</v>
      </c>
      <c r="C410" s="2">
        <v>275.27</v>
      </c>
      <c r="D410" s="2">
        <v>276.87</v>
      </c>
      <c r="E410" s="2">
        <v>275.23</v>
      </c>
      <c r="F410" s="2">
        <v>275.91000000000003</v>
      </c>
      <c r="G410" s="1">
        <v>72033608</v>
      </c>
      <c r="H410" s="8">
        <f t="shared" si="12"/>
        <v>274.59949999999998</v>
      </c>
      <c r="I410" s="19">
        <f t="shared" si="11"/>
        <v>272.54699999999997</v>
      </c>
      <c r="J410" s="8">
        <f>testdata[[#This Row],[SMA(20)]]+0.025*testdata[[#This Row],[SMA(20)]]</f>
        <v>281.46448749999996</v>
      </c>
      <c r="K410" s="8">
        <f>testdata[[#This Row],[SMA(20)]]-0.025*testdata[[#This Row],[SMA(20)]]</f>
        <v>267.73451249999999</v>
      </c>
      <c r="L410" s="16">
        <f>testdata[[#This Row],[close]]-testdata[[#This Row],[SMA(TW)]]</f>
        <v>3.3630000000000564</v>
      </c>
      <c r="M410"/>
    </row>
    <row r="411" spans="1:13" x14ac:dyDescent="0.25">
      <c r="A411" s="6">
        <v>410</v>
      </c>
      <c r="B411" s="3">
        <v>43329</v>
      </c>
      <c r="C411" s="2">
        <v>275.69</v>
      </c>
      <c r="D411" s="2">
        <v>277.37</v>
      </c>
      <c r="E411" s="2">
        <v>275.24</v>
      </c>
      <c r="F411" s="2">
        <v>276.89</v>
      </c>
      <c r="G411" s="1">
        <v>67555760</v>
      </c>
      <c r="H411" s="8">
        <f t="shared" si="12"/>
        <v>274.86099999999999</v>
      </c>
      <c r="I411" s="19">
        <f t="shared" si="11"/>
        <v>272.87450000000001</v>
      </c>
      <c r="J411" s="8">
        <f>testdata[[#This Row],[SMA(20)]]+0.025*testdata[[#This Row],[SMA(20)]]</f>
        <v>281.73252500000001</v>
      </c>
      <c r="K411" s="8">
        <f>testdata[[#This Row],[SMA(20)]]-0.025*testdata[[#This Row],[SMA(20)]]</f>
        <v>267.98947499999997</v>
      </c>
      <c r="L411" s="16">
        <f>testdata[[#This Row],[close]]-testdata[[#This Row],[SMA(TW)]]</f>
        <v>4.0154999999999745</v>
      </c>
      <c r="M411"/>
    </row>
    <row r="412" spans="1:13" x14ac:dyDescent="0.25">
      <c r="A412" s="6">
        <v>411</v>
      </c>
      <c r="B412" s="3">
        <v>43332</v>
      </c>
      <c r="C412" s="2">
        <v>277.38</v>
      </c>
      <c r="D412" s="2">
        <v>277.77</v>
      </c>
      <c r="E412" s="2">
        <v>276.89</v>
      </c>
      <c r="F412" s="2">
        <v>277.48</v>
      </c>
      <c r="G412" s="1">
        <v>40982744</v>
      </c>
      <c r="H412" s="8">
        <f t="shared" si="12"/>
        <v>275.12700000000007</v>
      </c>
      <c r="I412" s="19">
        <f t="shared" si="11"/>
        <v>273.19900000000001</v>
      </c>
      <c r="J412" s="8">
        <f>testdata[[#This Row],[SMA(20)]]+0.025*testdata[[#This Row],[SMA(20)]]</f>
        <v>282.00517500000007</v>
      </c>
      <c r="K412" s="8">
        <f>testdata[[#This Row],[SMA(20)]]-0.025*testdata[[#This Row],[SMA(20)]]</f>
        <v>268.24882500000007</v>
      </c>
      <c r="L412" s="16">
        <f>testdata[[#This Row],[close]]-testdata[[#This Row],[SMA(TW)]]</f>
        <v>4.2810000000000059</v>
      </c>
      <c r="M412"/>
    </row>
    <row r="413" spans="1:13" x14ac:dyDescent="0.25">
      <c r="A413" s="6">
        <v>412</v>
      </c>
      <c r="B413" s="3">
        <v>43333</v>
      </c>
      <c r="C413" s="2">
        <v>278.04000000000002</v>
      </c>
      <c r="D413" s="2">
        <v>279.07</v>
      </c>
      <c r="E413" s="2">
        <v>277.52</v>
      </c>
      <c r="F413" s="2">
        <v>278.13</v>
      </c>
      <c r="G413" s="1">
        <v>69258080</v>
      </c>
      <c r="H413" s="8">
        <f t="shared" si="12"/>
        <v>275.35700000000003</v>
      </c>
      <c r="I413" s="19">
        <f t="shared" si="11"/>
        <v>273.61649999999997</v>
      </c>
      <c r="J413" s="8">
        <f>testdata[[#This Row],[SMA(20)]]+0.025*testdata[[#This Row],[SMA(20)]]</f>
        <v>282.240925</v>
      </c>
      <c r="K413" s="8">
        <f>testdata[[#This Row],[SMA(20)]]-0.025*testdata[[#This Row],[SMA(20)]]</f>
        <v>268.47307500000005</v>
      </c>
      <c r="L413" s="16">
        <f>testdata[[#This Row],[close]]-testdata[[#This Row],[SMA(TW)]]</f>
        <v>4.5135000000000218</v>
      </c>
      <c r="M413"/>
    </row>
    <row r="414" spans="1:13" x14ac:dyDescent="0.25">
      <c r="A414" s="6">
        <v>413</v>
      </c>
      <c r="B414" s="3">
        <v>43334</v>
      </c>
      <c r="C414" s="2">
        <v>277.68</v>
      </c>
      <c r="D414" s="2">
        <v>278.54000000000002</v>
      </c>
      <c r="E414" s="2">
        <v>277.39</v>
      </c>
      <c r="F414" s="2">
        <v>277.95999999999998</v>
      </c>
      <c r="G414" s="1">
        <v>46321688</v>
      </c>
      <c r="H414" s="8">
        <f t="shared" si="12"/>
        <v>275.4615</v>
      </c>
      <c r="I414" s="19">
        <f t="shared" si="11"/>
        <v>273.89349999999996</v>
      </c>
      <c r="J414" s="8">
        <f>testdata[[#This Row],[SMA(20)]]+0.025*testdata[[#This Row],[SMA(20)]]</f>
        <v>282.34803749999998</v>
      </c>
      <c r="K414" s="8">
        <f>testdata[[#This Row],[SMA(20)]]-0.025*testdata[[#This Row],[SMA(20)]]</f>
        <v>268.57496250000003</v>
      </c>
      <c r="L414" s="16">
        <f>testdata[[#This Row],[close]]-testdata[[#This Row],[SMA(TW)]]</f>
        <v>4.0665000000000191</v>
      </c>
      <c r="M414"/>
    </row>
    <row r="415" spans="1:13" x14ac:dyDescent="0.25">
      <c r="A415" s="6">
        <v>414</v>
      </c>
      <c r="B415" s="3">
        <v>43335</v>
      </c>
      <c r="C415" s="2">
        <v>277.77</v>
      </c>
      <c r="D415" s="2">
        <v>278.70999999999998</v>
      </c>
      <c r="E415" s="2">
        <v>277.24</v>
      </c>
      <c r="F415" s="2">
        <v>277.58999999999997</v>
      </c>
      <c r="G415" s="1">
        <v>50657548</v>
      </c>
      <c r="H415" s="8">
        <f t="shared" si="12"/>
        <v>275.58050000000003</v>
      </c>
      <c r="I415" s="19">
        <f t="shared" ref="I415:I478" si="13">AVERAGE(F387:F406)</f>
        <v>274.06699999999995</v>
      </c>
      <c r="J415" s="8">
        <f>testdata[[#This Row],[SMA(20)]]+0.025*testdata[[#This Row],[SMA(20)]]</f>
        <v>282.47001250000005</v>
      </c>
      <c r="K415" s="8">
        <f>testdata[[#This Row],[SMA(20)]]-0.025*testdata[[#This Row],[SMA(20)]]</f>
        <v>268.69098750000001</v>
      </c>
      <c r="L415" s="16">
        <f>testdata[[#This Row],[close]]-testdata[[#This Row],[SMA(TW)]]</f>
        <v>3.5230000000000246</v>
      </c>
      <c r="M415"/>
    </row>
    <row r="416" spans="1:13" x14ac:dyDescent="0.25">
      <c r="A416" s="6">
        <v>415</v>
      </c>
      <c r="B416" s="3">
        <v>43336</v>
      </c>
      <c r="C416" s="2">
        <v>278.23</v>
      </c>
      <c r="D416" s="2">
        <v>279.42</v>
      </c>
      <c r="E416" s="2">
        <v>278.17</v>
      </c>
      <c r="F416" s="2">
        <v>279.27</v>
      </c>
      <c r="G416" s="1">
        <v>59184624</v>
      </c>
      <c r="H416" s="8">
        <f t="shared" si="12"/>
        <v>275.87650000000002</v>
      </c>
      <c r="I416" s="19">
        <f t="shared" si="13"/>
        <v>274.20099999999996</v>
      </c>
      <c r="J416" s="8">
        <f>testdata[[#This Row],[SMA(20)]]+0.025*testdata[[#This Row],[SMA(20)]]</f>
        <v>282.77341250000001</v>
      </c>
      <c r="K416" s="8">
        <f>testdata[[#This Row],[SMA(20)]]-0.025*testdata[[#This Row],[SMA(20)]]</f>
        <v>268.97958750000004</v>
      </c>
      <c r="L416" s="16">
        <f>testdata[[#This Row],[close]]-testdata[[#This Row],[SMA(TW)]]</f>
        <v>5.0690000000000168</v>
      </c>
      <c r="M416"/>
    </row>
    <row r="417" spans="1:13" x14ac:dyDescent="0.25">
      <c r="A417" s="6">
        <v>416</v>
      </c>
      <c r="B417" s="3">
        <v>43339</v>
      </c>
      <c r="C417" s="2">
        <v>280.58</v>
      </c>
      <c r="D417" s="2">
        <v>281.58999999999997</v>
      </c>
      <c r="E417" s="2">
        <v>280.39999999999998</v>
      </c>
      <c r="F417" s="2">
        <v>281.47000000000003</v>
      </c>
      <c r="G417" s="1">
        <v>58757348</v>
      </c>
      <c r="H417" s="8">
        <f t="shared" si="12"/>
        <v>276.35400000000004</v>
      </c>
      <c r="I417" s="19">
        <f t="shared" si="13"/>
        <v>274.36749999999995</v>
      </c>
      <c r="J417" s="8">
        <f>testdata[[#This Row],[SMA(20)]]+0.025*testdata[[#This Row],[SMA(20)]]</f>
        <v>283.26285000000007</v>
      </c>
      <c r="K417" s="8">
        <f>testdata[[#This Row],[SMA(20)]]-0.025*testdata[[#This Row],[SMA(20)]]</f>
        <v>269.44515000000001</v>
      </c>
      <c r="L417" s="16">
        <f>testdata[[#This Row],[close]]-testdata[[#This Row],[SMA(TW)]]</f>
        <v>7.1025000000000773</v>
      </c>
      <c r="M417"/>
    </row>
    <row r="418" spans="1:13" x14ac:dyDescent="0.25">
      <c r="A418" s="6">
        <v>417</v>
      </c>
      <c r="B418" s="3">
        <v>43340</v>
      </c>
      <c r="C418" s="2">
        <v>281.98</v>
      </c>
      <c r="D418" s="2">
        <v>282.08999999999997</v>
      </c>
      <c r="E418" s="2">
        <v>281.10000000000002</v>
      </c>
      <c r="F418" s="2">
        <v>281.61</v>
      </c>
      <c r="G418" s="1">
        <v>48329404</v>
      </c>
      <c r="H418" s="8">
        <f t="shared" si="12"/>
        <v>276.7715</v>
      </c>
      <c r="I418" s="19">
        <f t="shared" si="13"/>
        <v>274.40249999999997</v>
      </c>
      <c r="J418" s="8">
        <f>testdata[[#This Row],[SMA(20)]]+0.025*testdata[[#This Row],[SMA(20)]]</f>
        <v>283.6907875</v>
      </c>
      <c r="K418" s="8">
        <f>testdata[[#This Row],[SMA(20)]]-0.025*testdata[[#This Row],[SMA(20)]]</f>
        <v>269.85221250000001</v>
      </c>
      <c r="L418" s="16">
        <f>testdata[[#This Row],[close]]-testdata[[#This Row],[SMA(TW)]]</f>
        <v>7.2075000000000387</v>
      </c>
      <c r="M418"/>
    </row>
    <row r="419" spans="1:13" x14ac:dyDescent="0.25">
      <c r="A419" s="6">
        <v>418</v>
      </c>
      <c r="B419" s="3">
        <v>43341</v>
      </c>
      <c r="C419" s="2">
        <v>281.83999999999997</v>
      </c>
      <c r="D419" s="2">
        <v>283.37</v>
      </c>
      <c r="E419" s="2">
        <v>281.57</v>
      </c>
      <c r="F419" s="2">
        <v>283.12</v>
      </c>
      <c r="G419" s="1">
        <v>63300776</v>
      </c>
      <c r="H419" s="8">
        <f t="shared" si="12"/>
        <v>277.28700000000003</v>
      </c>
      <c r="I419" s="19">
        <f t="shared" si="13"/>
        <v>274.59949999999998</v>
      </c>
      <c r="J419" s="8">
        <f>testdata[[#This Row],[SMA(20)]]+0.025*testdata[[#This Row],[SMA(20)]]</f>
        <v>284.21917500000006</v>
      </c>
      <c r="K419" s="8">
        <f>testdata[[#This Row],[SMA(20)]]-0.025*testdata[[#This Row],[SMA(20)]]</f>
        <v>270.35482500000001</v>
      </c>
      <c r="L419" s="16">
        <f>testdata[[#This Row],[close]]-testdata[[#This Row],[SMA(TW)]]</f>
        <v>8.5205000000000268</v>
      </c>
      <c r="M419"/>
    </row>
    <row r="420" spans="1:13" x14ac:dyDescent="0.25">
      <c r="A420" s="6">
        <v>419</v>
      </c>
      <c r="B420" s="3">
        <v>43342</v>
      </c>
      <c r="C420" s="2">
        <v>282.60000000000002</v>
      </c>
      <c r="D420" s="2">
        <v>283</v>
      </c>
      <c r="E420" s="2">
        <v>281.32</v>
      </c>
      <c r="F420" s="2">
        <v>281.98</v>
      </c>
      <c r="G420" s="1">
        <v>63037208</v>
      </c>
      <c r="H420" s="8">
        <f t="shared" si="12"/>
        <v>277.67150000000004</v>
      </c>
      <c r="I420" s="19">
        <f t="shared" si="13"/>
        <v>274.86099999999999</v>
      </c>
      <c r="J420" s="8">
        <f>testdata[[#This Row],[SMA(20)]]+0.025*testdata[[#This Row],[SMA(20)]]</f>
        <v>284.61328750000001</v>
      </c>
      <c r="K420" s="8">
        <f>testdata[[#This Row],[SMA(20)]]-0.025*testdata[[#This Row],[SMA(20)]]</f>
        <v>270.72971250000006</v>
      </c>
      <c r="L420" s="16">
        <f>testdata[[#This Row],[close]]-testdata[[#This Row],[SMA(TW)]]</f>
        <v>7.1190000000000282</v>
      </c>
      <c r="M420"/>
    </row>
    <row r="421" spans="1:13" x14ac:dyDescent="0.25">
      <c r="A421" s="6">
        <v>420</v>
      </c>
      <c r="B421" s="3">
        <v>43343</v>
      </c>
      <c r="C421" s="2">
        <v>281.52999999999997</v>
      </c>
      <c r="D421" s="2">
        <v>282.47000000000003</v>
      </c>
      <c r="E421" s="2">
        <v>280.99</v>
      </c>
      <c r="F421" s="2">
        <v>281.98</v>
      </c>
      <c r="G421" s="1">
        <v>68093544</v>
      </c>
      <c r="H421" s="8">
        <f t="shared" si="12"/>
        <v>277.99699999999996</v>
      </c>
      <c r="I421" s="19">
        <f t="shared" si="13"/>
        <v>275.12700000000007</v>
      </c>
      <c r="J421" s="8">
        <f>testdata[[#This Row],[SMA(20)]]+0.025*testdata[[#This Row],[SMA(20)]]</f>
        <v>284.94692499999996</v>
      </c>
      <c r="K421" s="8">
        <f>testdata[[#This Row],[SMA(20)]]-0.025*testdata[[#This Row],[SMA(20)]]</f>
        <v>271.04707499999995</v>
      </c>
      <c r="L421" s="16">
        <f>testdata[[#This Row],[close]]-testdata[[#This Row],[SMA(TW)]]</f>
        <v>6.8529999999999518</v>
      </c>
      <c r="M421"/>
    </row>
    <row r="422" spans="1:13" x14ac:dyDescent="0.25">
      <c r="A422" s="6">
        <v>421</v>
      </c>
      <c r="B422" s="3">
        <v>43347</v>
      </c>
      <c r="C422" s="2">
        <v>281.52999999999997</v>
      </c>
      <c r="D422" s="2">
        <v>281.89</v>
      </c>
      <c r="E422" s="2">
        <v>280.39999999999998</v>
      </c>
      <c r="F422" s="2">
        <v>281.5</v>
      </c>
      <c r="G422" s="1">
        <v>59294748</v>
      </c>
      <c r="H422" s="8">
        <f t="shared" si="12"/>
        <v>278.24799999999993</v>
      </c>
      <c r="I422" s="19">
        <f t="shared" si="13"/>
        <v>275.35700000000003</v>
      </c>
      <c r="J422" s="8">
        <f>testdata[[#This Row],[SMA(20)]]+0.025*testdata[[#This Row],[SMA(20)]]</f>
        <v>285.20419999999996</v>
      </c>
      <c r="K422" s="8">
        <f>testdata[[#This Row],[SMA(20)]]-0.025*testdata[[#This Row],[SMA(20)]]</f>
        <v>271.29179999999991</v>
      </c>
      <c r="L422" s="16">
        <f>testdata[[#This Row],[close]]-testdata[[#This Row],[SMA(TW)]]</f>
        <v>6.1429999999999723</v>
      </c>
      <c r="M422"/>
    </row>
    <row r="423" spans="1:13" x14ac:dyDescent="0.25">
      <c r="A423" s="6">
        <v>422</v>
      </c>
      <c r="B423" s="3">
        <v>43348</v>
      </c>
      <c r="C423" s="2">
        <v>281.11</v>
      </c>
      <c r="D423" s="2">
        <v>281.33</v>
      </c>
      <c r="E423" s="2">
        <v>279.63</v>
      </c>
      <c r="F423" s="2">
        <v>280.74</v>
      </c>
      <c r="G423" s="1">
        <v>74591480</v>
      </c>
      <c r="H423" s="8">
        <f t="shared" si="12"/>
        <v>278.41549999999995</v>
      </c>
      <c r="I423" s="19">
        <f t="shared" si="13"/>
        <v>275.4615</v>
      </c>
      <c r="J423" s="8">
        <f>testdata[[#This Row],[SMA(20)]]+0.025*testdata[[#This Row],[SMA(20)]]</f>
        <v>285.37588749999998</v>
      </c>
      <c r="K423" s="8">
        <f>testdata[[#This Row],[SMA(20)]]-0.025*testdata[[#This Row],[SMA(20)]]</f>
        <v>271.45511249999993</v>
      </c>
      <c r="L423" s="16">
        <f>testdata[[#This Row],[close]]-testdata[[#This Row],[SMA(TW)]]</f>
        <v>5.2785000000000082</v>
      </c>
      <c r="M423"/>
    </row>
    <row r="424" spans="1:13" x14ac:dyDescent="0.25">
      <c r="A424" s="6">
        <v>423</v>
      </c>
      <c r="B424" s="3">
        <v>43349</v>
      </c>
      <c r="C424" s="2">
        <v>280.86</v>
      </c>
      <c r="D424" s="2">
        <v>281.19</v>
      </c>
      <c r="E424" s="2">
        <v>278.77</v>
      </c>
      <c r="F424" s="2">
        <v>279.89999999999998</v>
      </c>
      <c r="G424" s="1">
        <v>67855744</v>
      </c>
      <c r="H424" s="8">
        <f t="shared" si="12"/>
        <v>278.54700000000003</v>
      </c>
      <c r="I424" s="19">
        <f t="shared" si="13"/>
        <v>275.58050000000003</v>
      </c>
      <c r="J424" s="8">
        <f>testdata[[#This Row],[SMA(20)]]+0.025*testdata[[#This Row],[SMA(20)]]</f>
        <v>285.51067500000005</v>
      </c>
      <c r="K424" s="8">
        <f>testdata[[#This Row],[SMA(20)]]-0.025*testdata[[#This Row],[SMA(20)]]</f>
        <v>271.583325</v>
      </c>
      <c r="L424" s="16">
        <f>testdata[[#This Row],[close]]-testdata[[#This Row],[SMA(TW)]]</f>
        <v>4.3194999999999482</v>
      </c>
      <c r="M424"/>
    </row>
    <row r="425" spans="1:13" x14ac:dyDescent="0.25">
      <c r="A425" s="6">
        <v>424</v>
      </c>
      <c r="B425" s="3">
        <v>43350</v>
      </c>
      <c r="C425" s="2">
        <v>278.75</v>
      </c>
      <c r="D425" s="2">
        <v>280.42</v>
      </c>
      <c r="E425" s="2">
        <v>278.49</v>
      </c>
      <c r="F425" s="2">
        <v>279.35000000000002</v>
      </c>
      <c r="G425" s="1">
        <v>75695528</v>
      </c>
      <c r="H425" s="8">
        <f t="shared" si="12"/>
        <v>278.66949999999997</v>
      </c>
      <c r="I425" s="19">
        <f t="shared" si="13"/>
        <v>275.87650000000002</v>
      </c>
      <c r="J425" s="8">
        <f>testdata[[#This Row],[SMA(20)]]+0.025*testdata[[#This Row],[SMA(20)]]</f>
        <v>285.63623749999999</v>
      </c>
      <c r="K425" s="8">
        <f>testdata[[#This Row],[SMA(20)]]-0.025*testdata[[#This Row],[SMA(20)]]</f>
        <v>271.70276249999995</v>
      </c>
      <c r="L425" s="16">
        <f>testdata[[#This Row],[close]]-testdata[[#This Row],[SMA(TW)]]</f>
        <v>3.4735000000000014</v>
      </c>
      <c r="M425"/>
    </row>
    <row r="426" spans="1:13" x14ac:dyDescent="0.25">
      <c r="A426" s="6">
        <v>425</v>
      </c>
      <c r="B426" s="3">
        <v>43353</v>
      </c>
      <c r="C426" s="2">
        <v>280.45999999999998</v>
      </c>
      <c r="D426" s="2">
        <v>280.75</v>
      </c>
      <c r="E426" s="2">
        <v>279.62</v>
      </c>
      <c r="F426" s="2">
        <v>279.83999999999997</v>
      </c>
      <c r="G426" s="1">
        <v>51693300</v>
      </c>
      <c r="H426" s="8">
        <f t="shared" si="12"/>
        <v>278.90950000000004</v>
      </c>
      <c r="I426" s="19">
        <f t="shared" si="13"/>
        <v>276.35400000000004</v>
      </c>
      <c r="J426" s="8">
        <f>testdata[[#This Row],[SMA(20)]]+0.025*testdata[[#This Row],[SMA(20)]]</f>
        <v>285.88223750000003</v>
      </c>
      <c r="K426" s="8">
        <f>testdata[[#This Row],[SMA(20)]]-0.025*testdata[[#This Row],[SMA(20)]]</f>
        <v>271.93676250000004</v>
      </c>
      <c r="L426" s="16">
        <f>testdata[[#This Row],[close]]-testdata[[#This Row],[SMA(TW)]]</f>
        <v>3.4859999999999332</v>
      </c>
      <c r="M426"/>
    </row>
    <row r="427" spans="1:13" x14ac:dyDescent="0.25">
      <c r="A427" s="6">
        <v>426</v>
      </c>
      <c r="B427" s="3">
        <v>43354</v>
      </c>
      <c r="C427" s="2">
        <v>279.13</v>
      </c>
      <c r="D427" s="2">
        <v>281.25</v>
      </c>
      <c r="E427" s="2">
        <v>278.75</v>
      </c>
      <c r="F427" s="2">
        <v>280.76</v>
      </c>
      <c r="G427" s="1">
        <v>52022324</v>
      </c>
      <c r="H427" s="8">
        <f t="shared" si="12"/>
        <v>279.24700000000001</v>
      </c>
      <c r="I427" s="19">
        <f t="shared" si="13"/>
        <v>276.7715</v>
      </c>
      <c r="J427" s="8">
        <f>testdata[[#This Row],[SMA(20)]]+0.025*testdata[[#This Row],[SMA(20)]]</f>
        <v>286.22817500000002</v>
      </c>
      <c r="K427" s="8">
        <f>testdata[[#This Row],[SMA(20)]]-0.025*testdata[[#This Row],[SMA(20)]]</f>
        <v>272.26582500000001</v>
      </c>
      <c r="L427" s="16">
        <f>testdata[[#This Row],[close]]-testdata[[#This Row],[SMA(TW)]]</f>
        <v>3.9884999999999877</v>
      </c>
      <c r="M427"/>
    </row>
    <row r="428" spans="1:13" x14ac:dyDescent="0.25">
      <c r="A428" s="6">
        <v>427</v>
      </c>
      <c r="B428" s="3">
        <v>43355</v>
      </c>
      <c r="C428" s="2">
        <v>280.77</v>
      </c>
      <c r="D428" s="2">
        <v>281.49</v>
      </c>
      <c r="E428" s="2">
        <v>279.95999999999998</v>
      </c>
      <c r="F428" s="2">
        <v>280.83</v>
      </c>
      <c r="G428" s="1">
        <v>61576576</v>
      </c>
      <c r="H428" s="8">
        <f t="shared" si="12"/>
        <v>279.50050000000005</v>
      </c>
      <c r="I428" s="19">
        <f t="shared" si="13"/>
        <v>277.28700000000003</v>
      </c>
      <c r="J428" s="8">
        <f>testdata[[#This Row],[SMA(20)]]+0.025*testdata[[#This Row],[SMA(20)]]</f>
        <v>286.48801250000002</v>
      </c>
      <c r="K428" s="8">
        <f>testdata[[#This Row],[SMA(20)]]-0.025*testdata[[#This Row],[SMA(20)]]</f>
        <v>272.51298750000007</v>
      </c>
      <c r="L428" s="16">
        <f>testdata[[#This Row],[close]]-testdata[[#This Row],[SMA(TW)]]</f>
        <v>3.5429999999999495</v>
      </c>
      <c r="M428"/>
    </row>
    <row r="429" spans="1:13" x14ac:dyDescent="0.25">
      <c r="A429" s="6">
        <v>428</v>
      </c>
      <c r="B429" s="3">
        <v>43356</v>
      </c>
      <c r="C429" s="2">
        <v>281.99</v>
      </c>
      <c r="D429" s="2">
        <v>282.69</v>
      </c>
      <c r="E429" s="2">
        <v>281.68</v>
      </c>
      <c r="F429" s="2">
        <v>282.49</v>
      </c>
      <c r="G429" s="1">
        <v>52540928</v>
      </c>
      <c r="H429" s="8">
        <f t="shared" si="12"/>
        <v>279.94</v>
      </c>
      <c r="I429" s="19">
        <f t="shared" si="13"/>
        <v>277.67150000000004</v>
      </c>
      <c r="J429" s="8">
        <f>testdata[[#This Row],[SMA(20)]]+0.025*testdata[[#This Row],[SMA(20)]]</f>
        <v>286.93849999999998</v>
      </c>
      <c r="K429" s="8">
        <f>testdata[[#This Row],[SMA(20)]]-0.025*testdata[[#This Row],[SMA(20)]]</f>
        <v>272.94150000000002</v>
      </c>
      <c r="L429" s="16">
        <f>testdata[[#This Row],[close]]-testdata[[#This Row],[SMA(TW)]]</f>
        <v>4.8184999999999718</v>
      </c>
      <c r="M429"/>
    </row>
    <row r="430" spans="1:13" x14ac:dyDescent="0.25">
      <c r="A430" s="6">
        <v>429</v>
      </c>
      <c r="B430" s="3">
        <v>43357</v>
      </c>
      <c r="C430" s="2">
        <v>282.70999999999998</v>
      </c>
      <c r="D430" s="2">
        <v>282.92</v>
      </c>
      <c r="E430" s="2">
        <v>281.68</v>
      </c>
      <c r="F430" s="2">
        <v>282.54000000000002</v>
      </c>
      <c r="G430" s="1">
        <v>56706020</v>
      </c>
      <c r="H430" s="8">
        <f t="shared" si="12"/>
        <v>280.2715</v>
      </c>
      <c r="I430" s="19">
        <f t="shared" si="13"/>
        <v>277.99699999999996</v>
      </c>
      <c r="J430" s="8">
        <f>testdata[[#This Row],[SMA(20)]]+0.025*testdata[[#This Row],[SMA(20)]]</f>
        <v>287.27828749999998</v>
      </c>
      <c r="K430" s="8">
        <f>testdata[[#This Row],[SMA(20)]]-0.025*testdata[[#This Row],[SMA(20)]]</f>
        <v>273.26471250000003</v>
      </c>
      <c r="L430" s="16">
        <f>testdata[[#This Row],[close]]-testdata[[#This Row],[SMA(TW)]]</f>
        <v>4.5430000000000632</v>
      </c>
      <c r="M430"/>
    </row>
    <row r="431" spans="1:13" x14ac:dyDescent="0.25">
      <c r="A431" s="6">
        <v>430</v>
      </c>
      <c r="B431" s="3">
        <v>43360</v>
      </c>
      <c r="C431" s="2">
        <v>282.48</v>
      </c>
      <c r="D431" s="2">
        <v>282.52</v>
      </c>
      <c r="E431" s="2">
        <v>280.74</v>
      </c>
      <c r="F431" s="2">
        <v>281.04000000000002</v>
      </c>
      <c r="G431" s="1">
        <v>70258840</v>
      </c>
      <c r="H431" s="8">
        <f t="shared" si="12"/>
        <v>280.47899999999998</v>
      </c>
      <c r="I431" s="19">
        <f t="shared" si="13"/>
        <v>278.24799999999993</v>
      </c>
      <c r="J431" s="8">
        <f>testdata[[#This Row],[SMA(20)]]+0.025*testdata[[#This Row],[SMA(20)]]</f>
        <v>287.49097499999999</v>
      </c>
      <c r="K431" s="8">
        <f>testdata[[#This Row],[SMA(20)]]-0.025*testdata[[#This Row],[SMA(20)]]</f>
        <v>273.46702499999998</v>
      </c>
      <c r="L431" s="16">
        <f>testdata[[#This Row],[close]]-testdata[[#This Row],[SMA(TW)]]</f>
        <v>2.7920000000000869</v>
      </c>
      <c r="M431"/>
    </row>
    <row r="432" spans="1:13" x14ac:dyDescent="0.25">
      <c r="A432" s="6">
        <v>431</v>
      </c>
      <c r="B432" s="3">
        <v>43361</v>
      </c>
      <c r="C432" s="2">
        <v>281.27999999999997</v>
      </c>
      <c r="D432" s="2">
        <v>283.22000000000003</v>
      </c>
      <c r="E432" s="2">
        <v>281.25</v>
      </c>
      <c r="F432" s="2">
        <v>282.57</v>
      </c>
      <c r="G432" s="1">
        <v>63758804</v>
      </c>
      <c r="H432" s="8">
        <f t="shared" si="12"/>
        <v>280.73349999999994</v>
      </c>
      <c r="I432" s="19">
        <f t="shared" si="13"/>
        <v>278.41549999999995</v>
      </c>
      <c r="J432" s="8">
        <f>testdata[[#This Row],[SMA(20)]]+0.025*testdata[[#This Row],[SMA(20)]]</f>
        <v>287.75183749999991</v>
      </c>
      <c r="K432" s="8">
        <f>testdata[[#This Row],[SMA(20)]]-0.025*testdata[[#This Row],[SMA(20)]]</f>
        <v>273.71516249999996</v>
      </c>
      <c r="L432" s="16">
        <f>testdata[[#This Row],[close]]-testdata[[#This Row],[SMA(TW)]]</f>
        <v>4.1545000000000414</v>
      </c>
      <c r="M432"/>
    </row>
    <row r="433" spans="1:13" x14ac:dyDescent="0.25">
      <c r="A433" s="6">
        <v>432</v>
      </c>
      <c r="B433" s="3">
        <v>43362</v>
      </c>
      <c r="C433" s="2">
        <v>282.63</v>
      </c>
      <c r="D433" s="2">
        <v>283.33</v>
      </c>
      <c r="E433" s="2">
        <v>282.48</v>
      </c>
      <c r="F433" s="2">
        <v>282.87</v>
      </c>
      <c r="G433" s="1">
        <v>50529584</v>
      </c>
      <c r="H433" s="8">
        <f t="shared" si="12"/>
        <v>280.97050000000002</v>
      </c>
      <c r="I433" s="19">
        <f t="shared" si="13"/>
        <v>278.54700000000003</v>
      </c>
      <c r="J433" s="8">
        <f>testdata[[#This Row],[SMA(20)]]+0.025*testdata[[#This Row],[SMA(20)]]</f>
        <v>287.99476250000004</v>
      </c>
      <c r="K433" s="8">
        <f>testdata[[#This Row],[SMA(20)]]-0.025*testdata[[#This Row],[SMA(20)]]</f>
        <v>273.9462375</v>
      </c>
      <c r="L433" s="16">
        <f>testdata[[#This Row],[close]]-testdata[[#This Row],[SMA(TW)]]</f>
        <v>4.3229999999999791</v>
      </c>
      <c r="M433"/>
    </row>
    <row r="434" spans="1:13" x14ac:dyDescent="0.25">
      <c r="A434" s="6">
        <v>433</v>
      </c>
      <c r="B434" s="3">
        <v>43363</v>
      </c>
      <c r="C434" s="2">
        <v>284.25</v>
      </c>
      <c r="D434" s="2">
        <v>285.51</v>
      </c>
      <c r="E434" s="2">
        <v>282.88</v>
      </c>
      <c r="F434" s="2">
        <v>285.16000000000003</v>
      </c>
      <c r="G434" s="1">
        <v>103323632</v>
      </c>
      <c r="H434" s="8">
        <f t="shared" si="12"/>
        <v>281.33049999999997</v>
      </c>
      <c r="I434" s="19">
        <f t="shared" si="13"/>
        <v>278.66949999999997</v>
      </c>
      <c r="J434" s="8">
        <f>testdata[[#This Row],[SMA(20)]]+0.025*testdata[[#This Row],[SMA(20)]]</f>
        <v>288.36376249999995</v>
      </c>
      <c r="K434" s="8">
        <f>testdata[[#This Row],[SMA(20)]]-0.025*testdata[[#This Row],[SMA(20)]]</f>
        <v>274.29723749999999</v>
      </c>
      <c r="L434" s="16">
        <f>testdata[[#This Row],[close]]-testdata[[#This Row],[SMA(TW)]]</f>
        <v>6.4905000000000541</v>
      </c>
      <c r="M434"/>
    </row>
    <row r="435" spans="1:13" x14ac:dyDescent="0.25">
      <c r="A435" s="6">
        <v>434</v>
      </c>
      <c r="B435" s="3">
        <v>43364</v>
      </c>
      <c r="C435" s="2">
        <v>285.97000000000003</v>
      </c>
      <c r="D435" s="2">
        <v>286.10000000000002</v>
      </c>
      <c r="E435" s="2">
        <v>284.72000000000003</v>
      </c>
      <c r="F435" s="2">
        <v>284.89999999999998</v>
      </c>
      <c r="G435" s="1">
        <v>108104552</v>
      </c>
      <c r="H435" s="8">
        <f t="shared" si="12"/>
        <v>281.69599999999997</v>
      </c>
      <c r="I435" s="19">
        <f t="shared" si="13"/>
        <v>278.90950000000004</v>
      </c>
      <c r="J435" s="8">
        <f>testdata[[#This Row],[SMA(20)]]+0.025*testdata[[#This Row],[SMA(20)]]</f>
        <v>288.73839999999996</v>
      </c>
      <c r="K435" s="8">
        <f>testdata[[#This Row],[SMA(20)]]-0.025*testdata[[#This Row],[SMA(20)]]</f>
        <v>274.65359999999998</v>
      </c>
      <c r="L435" s="16">
        <f>testdata[[#This Row],[close]]-testdata[[#This Row],[SMA(TW)]]</f>
        <v>5.9904999999999404</v>
      </c>
      <c r="M435"/>
    </row>
    <row r="436" spans="1:13" x14ac:dyDescent="0.25">
      <c r="A436" s="6">
        <v>435</v>
      </c>
      <c r="B436" s="3">
        <v>43367</v>
      </c>
      <c r="C436" s="2">
        <v>284.27</v>
      </c>
      <c r="D436" s="2">
        <v>284.42</v>
      </c>
      <c r="E436" s="2">
        <v>283.32</v>
      </c>
      <c r="F436" s="2">
        <v>283.95</v>
      </c>
      <c r="G436" s="1">
        <v>54738760</v>
      </c>
      <c r="H436" s="8">
        <f t="shared" si="12"/>
        <v>281.92999999999995</v>
      </c>
      <c r="I436" s="19">
        <f t="shared" si="13"/>
        <v>279.24700000000001</v>
      </c>
      <c r="J436" s="8">
        <f>testdata[[#This Row],[SMA(20)]]+0.025*testdata[[#This Row],[SMA(20)]]</f>
        <v>288.97824999999995</v>
      </c>
      <c r="K436" s="8">
        <f>testdata[[#This Row],[SMA(20)]]-0.025*testdata[[#This Row],[SMA(20)]]</f>
        <v>274.88174999999995</v>
      </c>
      <c r="L436" s="16">
        <f>testdata[[#This Row],[close]]-testdata[[#This Row],[SMA(TW)]]</f>
        <v>4.7029999999999745</v>
      </c>
      <c r="M436"/>
    </row>
    <row r="437" spans="1:13" x14ac:dyDescent="0.25">
      <c r="A437" s="6">
        <v>436</v>
      </c>
      <c r="B437" s="3">
        <v>43368</v>
      </c>
      <c r="C437" s="2">
        <v>284.45</v>
      </c>
      <c r="D437" s="2">
        <v>284.57</v>
      </c>
      <c r="E437" s="2">
        <v>283.43</v>
      </c>
      <c r="F437" s="2">
        <v>283.69</v>
      </c>
      <c r="G437" s="1">
        <v>45474200</v>
      </c>
      <c r="H437" s="8">
        <f t="shared" si="12"/>
        <v>282.04099999999988</v>
      </c>
      <c r="I437" s="19">
        <f t="shared" si="13"/>
        <v>279.50050000000005</v>
      </c>
      <c r="J437" s="8">
        <f>testdata[[#This Row],[SMA(20)]]+0.025*testdata[[#This Row],[SMA(20)]]</f>
        <v>289.09202499999986</v>
      </c>
      <c r="K437" s="8">
        <f>testdata[[#This Row],[SMA(20)]]-0.025*testdata[[#This Row],[SMA(20)]]</f>
        <v>274.9899749999999</v>
      </c>
      <c r="L437" s="16">
        <f>testdata[[#This Row],[close]]-testdata[[#This Row],[SMA(TW)]]</f>
        <v>4.1894999999999527</v>
      </c>
      <c r="M437"/>
    </row>
    <row r="438" spans="1:13" x14ac:dyDescent="0.25">
      <c r="A438" s="6">
        <v>437</v>
      </c>
      <c r="B438" s="3">
        <v>43369</v>
      </c>
      <c r="C438" s="2">
        <v>283.85000000000002</v>
      </c>
      <c r="D438" s="2">
        <v>285.14</v>
      </c>
      <c r="E438" s="2">
        <v>282.38</v>
      </c>
      <c r="F438" s="2">
        <v>282.83999999999997</v>
      </c>
      <c r="G438" s="1">
        <v>81724024</v>
      </c>
      <c r="H438" s="8">
        <f t="shared" si="12"/>
        <v>282.10249999999996</v>
      </c>
      <c r="I438" s="19">
        <f t="shared" si="13"/>
        <v>279.94</v>
      </c>
      <c r="J438" s="8">
        <f>testdata[[#This Row],[SMA(20)]]+0.025*testdata[[#This Row],[SMA(20)]]</f>
        <v>289.15506249999999</v>
      </c>
      <c r="K438" s="8">
        <f>testdata[[#This Row],[SMA(20)]]-0.025*testdata[[#This Row],[SMA(20)]]</f>
        <v>275.04993749999994</v>
      </c>
      <c r="L438" s="16">
        <f>testdata[[#This Row],[close]]-testdata[[#This Row],[SMA(TW)]]</f>
        <v>2.8999999999999773</v>
      </c>
      <c r="M438"/>
    </row>
    <row r="439" spans="1:13" x14ac:dyDescent="0.25">
      <c r="A439" s="6">
        <v>438</v>
      </c>
      <c r="B439" s="3">
        <v>43370</v>
      </c>
      <c r="C439" s="2">
        <v>283.36</v>
      </c>
      <c r="D439" s="2">
        <v>284.82</v>
      </c>
      <c r="E439" s="2">
        <v>283.06</v>
      </c>
      <c r="F439" s="2">
        <v>283.63</v>
      </c>
      <c r="G439" s="1">
        <v>60723896</v>
      </c>
      <c r="H439" s="8">
        <f t="shared" si="12"/>
        <v>282.12799999999999</v>
      </c>
      <c r="I439" s="19">
        <f t="shared" si="13"/>
        <v>280.2715</v>
      </c>
      <c r="J439" s="8">
        <f>testdata[[#This Row],[SMA(20)]]+0.025*testdata[[#This Row],[SMA(20)]]</f>
        <v>289.18119999999999</v>
      </c>
      <c r="K439" s="8">
        <f>testdata[[#This Row],[SMA(20)]]-0.025*testdata[[#This Row],[SMA(20)]]</f>
        <v>275.07479999999998</v>
      </c>
      <c r="L439" s="16">
        <f>testdata[[#This Row],[close]]-testdata[[#This Row],[SMA(TW)]]</f>
        <v>3.3584999999999923</v>
      </c>
      <c r="M439"/>
    </row>
    <row r="440" spans="1:13" x14ac:dyDescent="0.25">
      <c r="A440" s="6">
        <v>439</v>
      </c>
      <c r="B440" s="3">
        <v>43371</v>
      </c>
      <c r="C440" s="2">
        <v>282.95</v>
      </c>
      <c r="D440" s="2">
        <v>284.20999999999998</v>
      </c>
      <c r="E440" s="2">
        <v>282.91000000000003</v>
      </c>
      <c r="F440" s="2">
        <v>283.66000000000003</v>
      </c>
      <c r="G440" s="1">
        <v>71835632</v>
      </c>
      <c r="H440" s="8">
        <f t="shared" si="12"/>
        <v>282.21199999999993</v>
      </c>
      <c r="I440" s="19">
        <f t="shared" si="13"/>
        <v>280.47899999999998</v>
      </c>
      <c r="J440" s="8">
        <f>testdata[[#This Row],[SMA(20)]]+0.025*testdata[[#This Row],[SMA(20)]]</f>
        <v>289.26729999999992</v>
      </c>
      <c r="K440" s="8">
        <f>testdata[[#This Row],[SMA(20)]]-0.025*testdata[[#This Row],[SMA(20)]]</f>
        <v>275.15669999999994</v>
      </c>
      <c r="L440" s="16">
        <f>testdata[[#This Row],[close]]-testdata[[#This Row],[SMA(TW)]]</f>
        <v>3.18100000000004</v>
      </c>
      <c r="M440"/>
    </row>
    <row r="441" spans="1:13" x14ac:dyDescent="0.25">
      <c r="A441" s="6">
        <v>440</v>
      </c>
      <c r="B441" s="3">
        <v>43374</v>
      </c>
      <c r="C441" s="2">
        <v>285.02</v>
      </c>
      <c r="D441" s="2">
        <v>285.82</v>
      </c>
      <c r="E441" s="2">
        <v>283.91000000000003</v>
      </c>
      <c r="F441" s="2">
        <v>284.64999999999998</v>
      </c>
      <c r="G441" s="1">
        <v>63623792</v>
      </c>
      <c r="H441" s="8">
        <f t="shared" si="12"/>
        <v>282.34549999999996</v>
      </c>
      <c r="I441" s="19">
        <f t="shared" si="13"/>
        <v>280.73349999999994</v>
      </c>
      <c r="J441" s="8">
        <f>testdata[[#This Row],[SMA(20)]]+0.025*testdata[[#This Row],[SMA(20)]]</f>
        <v>289.40413749999993</v>
      </c>
      <c r="K441" s="8">
        <f>testdata[[#This Row],[SMA(20)]]-0.025*testdata[[#This Row],[SMA(20)]]</f>
        <v>275.28686249999998</v>
      </c>
      <c r="L441" s="16">
        <f>testdata[[#This Row],[close]]-testdata[[#This Row],[SMA(TW)]]</f>
        <v>3.9165000000000418</v>
      </c>
      <c r="M441"/>
    </row>
    <row r="442" spans="1:13" x14ac:dyDescent="0.25">
      <c r="A442" s="6">
        <v>441</v>
      </c>
      <c r="B442" s="3">
        <v>43375</v>
      </c>
      <c r="C442" s="2">
        <v>284.48</v>
      </c>
      <c r="D442" s="2">
        <v>285.26</v>
      </c>
      <c r="E442" s="2">
        <v>284.07</v>
      </c>
      <c r="F442" s="2">
        <v>284.48</v>
      </c>
      <c r="G442" s="1">
        <v>48434264</v>
      </c>
      <c r="H442" s="8">
        <f t="shared" si="12"/>
        <v>282.49449999999996</v>
      </c>
      <c r="I442" s="19">
        <f t="shared" si="13"/>
        <v>280.97050000000002</v>
      </c>
      <c r="J442" s="8">
        <f>testdata[[#This Row],[SMA(20)]]+0.025*testdata[[#This Row],[SMA(20)]]</f>
        <v>289.55686249999997</v>
      </c>
      <c r="K442" s="8">
        <f>testdata[[#This Row],[SMA(20)]]-0.025*testdata[[#This Row],[SMA(20)]]</f>
        <v>275.43213749999995</v>
      </c>
      <c r="L442" s="16">
        <f>testdata[[#This Row],[close]]-testdata[[#This Row],[SMA(TW)]]</f>
        <v>3.5095000000000027</v>
      </c>
      <c r="M442"/>
    </row>
    <row r="443" spans="1:13" x14ac:dyDescent="0.25">
      <c r="A443" s="6">
        <v>442</v>
      </c>
      <c r="B443" s="3">
        <v>43376</v>
      </c>
      <c r="C443" s="2">
        <v>285.63</v>
      </c>
      <c r="D443" s="2">
        <v>286.08999999999997</v>
      </c>
      <c r="E443" s="2">
        <v>284.25</v>
      </c>
      <c r="F443" s="2">
        <v>284.64</v>
      </c>
      <c r="G443" s="1">
        <v>66304540</v>
      </c>
      <c r="H443" s="8">
        <f t="shared" si="12"/>
        <v>282.68950000000001</v>
      </c>
      <c r="I443" s="19">
        <f t="shared" si="13"/>
        <v>281.33049999999997</v>
      </c>
      <c r="J443" s="8">
        <f>testdata[[#This Row],[SMA(20)]]+0.025*testdata[[#This Row],[SMA(20)]]</f>
        <v>289.75673749999999</v>
      </c>
      <c r="K443" s="8">
        <f>testdata[[#This Row],[SMA(20)]]-0.025*testdata[[#This Row],[SMA(20)]]</f>
        <v>275.62226250000003</v>
      </c>
      <c r="L443" s="16">
        <f>testdata[[#This Row],[close]]-testdata[[#This Row],[SMA(TW)]]</f>
        <v>3.3095000000000141</v>
      </c>
      <c r="M443"/>
    </row>
    <row r="444" spans="1:13" x14ac:dyDescent="0.25">
      <c r="A444" s="6">
        <v>443</v>
      </c>
      <c r="B444" s="3">
        <v>43377</v>
      </c>
      <c r="C444" s="2">
        <v>284.11</v>
      </c>
      <c r="D444" s="2">
        <v>284.17</v>
      </c>
      <c r="E444" s="2">
        <v>280.68</v>
      </c>
      <c r="F444" s="2">
        <v>282.41000000000003</v>
      </c>
      <c r="G444" s="1">
        <v>114321768</v>
      </c>
      <c r="H444" s="8">
        <f t="shared" si="12"/>
        <v>282.815</v>
      </c>
      <c r="I444" s="19">
        <f t="shared" si="13"/>
        <v>281.69599999999997</v>
      </c>
      <c r="J444" s="8">
        <f>testdata[[#This Row],[SMA(20)]]+0.025*testdata[[#This Row],[SMA(20)]]</f>
        <v>289.88537500000001</v>
      </c>
      <c r="K444" s="8">
        <f>testdata[[#This Row],[SMA(20)]]-0.025*testdata[[#This Row],[SMA(20)]]</f>
        <v>275.74462499999998</v>
      </c>
      <c r="L444" s="16">
        <f>testdata[[#This Row],[close]]-testdata[[#This Row],[SMA(TW)]]</f>
        <v>0.71400000000005548</v>
      </c>
      <c r="M444"/>
    </row>
    <row r="445" spans="1:13" x14ac:dyDescent="0.25">
      <c r="A445" s="6">
        <v>444</v>
      </c>
      <c r="B445" s="3">
        <v>43378</v>
      </c>
      <c r="C445" s="2">
        <v>282.66000000000003</v>
      </c>
      <c r="D445" s="2">
        <v>283.22000000000003</v>
      </c>
      <c r="E445" s="2">
        <v>279.27</v>
      </c>
      <c r="F445" s="2">
        <v>280.83</v>
      </c>
      <c r="G445" s="1">
        <v>108588344</v>
      </c>
      <c r="H445" s="8">
        <f t="shared" si="12"/>
        <v>282.88900000000001</v>
      </c>
      <c r="I445" s="19">
        <f t="shared" si="13"/>
        <v>281.92999999999995</v>
      </c>
      <c r="J445" s="8">
        <f>testdata[[#This Row],[SMA(20)]]+0.025*testdata[[#This Row],[SMA(20)]]</f>
        <v>289.96122500000001</v>
      </c>
      <c r="K445" s="8">
        <f>testdata[[#This Row],[SMA(20)]]-0.025*testdata[[#This Row],[SMA(20)]]</f>
        <v>275.81677500000001</v>
      </c>
      <c r="L445" s="16">
        <f>testdata[[#This Row],[close]]-testdata[[#This Row],[SMA(TW)]]</f>
        <v>-1.0999999999999659</v>
      </c>
      <c r="M445"/>
    </row>
    <row r="446" spans="1:13" x14ac:dyDescent="0.25">
      <c r="A446" s="6">
        <v>445</v>
      </c>
      <c r="B446" s="3">
        <v>43381</v>
      </c>
      <c r="C446" s="2">
        <v>280.08</v>
      </c>
      <c r="D446" s="2">
        <v>281.22000000000003</v>
      </c>
      <c r="E446" s="2">
        <v>278.57</v>
      </c>
      <c r="F446" s="2">
        <v>280.83</v>
      </c>
      <c r="G446" s="1">
        <v>89925664</v>
      </c>
      <c r="H446" s="8">
        <f t="shared" si="12"/>
        <v>282.93849999999998</v>
      </c>
      <c r="I446" s="19">
        <f t="shared" si="13"/>
        <v>282.04099999999988</v>
      </c>
      <c r="J446" s="8">
        <f>testdata[[#This Row],[SMA(20)]]+0.025*testdata[[#This Row],[SMA(20)]]</f>
        <v>290.01196249999998</v>
      </c>
      <c r="K446" s="8">
        <f>testdata[[#This Row],[SMA(20)]]-0.025*testdata[[#This Row],[SMA(20)]]</f>
        <v>275.86503749999997</v>
      </c>
      <c r="L446" s="16">
        <f>testdata[[#This Row],[close]]-testdata[[#This Row],[SMA(TW)]]</f>
        <v>-1.210999999999899</v>
      </c>
      <c r="M446"/>
    </row>
    <row r="447" spans="1:13" x14ac:dyDescent="0.25">
      <c r="A447" s="6">
        <v>446</v>
      </c>
      <c r="B447" s="3">
        <v>43382</v>
      </c>
      <c r="C447" s="2">
        <v>280.41000000000003</v>
      </c>
      <c r="D447" s="2">
        <v>281.85000000000002</v>
      </c>
      <c r="E447" s="2">
        <v>279.81</v>
      </c>
      <c r="F447" s="2">
        <v>280.42</v>
      </c>
      <c r="G447" s="1">
        <v>76188928</v>
      </c>
      <c r="H447" s="8">
        <f t="shared" si="12"/>
        <v>282.92149999999998</v>
      </c>
      <c r="I447" s="19">
        <f t="shared" si="13"/>
        <v>282.10249999999996</v>
      </c>
      <c r="J447" s="8">
        <f>testdata[[#This Row],[SMA(20)]]+0.025*testdata[[#This Row],[SMA(20)]]</f>
        <v>289.99453749999998</v>
      </c>
      <c r="K447" s="8">
        <f>testdata[[#This Row],[SMA(20)]]-0.025*testdata[[#This Row],[SMA(20)]]</f>
        <v>275.84846249999998</v>
      </c>
      <c r="L447" s="16">
        <f>testdata[[#This Row],[close]]-testdata[[#This Row],[SMA(TW)]]</f>
        <v>-1.6824999999999477</v>
      </c>
      <c r="M447"/>
    </row>
    <row r="448" spans="1:13" x14ac:dyDescent="0.25">
      <c r="A448" s="6">
        <v>447</v>
      </c>
      <c r="B448" s="3">
        <v>43383</v>
      </c>
      <c r="C448" s="2">
        <v>279.87</v>
      </c>
      <c r="D448" s="2">
        <v>279.94</v>
      </c>
      <c r="E448" s="2">
        <v>271.13</v>
      </c>
      <c r="F448" s="2">
        <v>271.54000000000002</v>
      </c>
      <c r="G448" s="1">
        <v>220074688</v>
      </c>
      <c r="H448" s="8">
        <f t="shared" si="12"/>
        <v>282.45699999999999</v>
      </c>
      <c r="I448" s="19">
        <f t="shared" si="13"/>
        <v>282.12799999999999</v>
      </c>
      <c r="J448" s="8">
        <f>testdata[[#This Row],[SMA(20)]]+0.025*testdata[[#This Row],[SMA(20)]]</f>
        <v>289.51842499999998</v>
      </c>
      <c r="K448" s="8">
        <f>testdata[[#This Row],[SMA(20)]]-0.025*testdata[[#This Row],[SMA(20)]]</f>
        <v>275.39557500000001</v>
      </c>
      <c r="L448" s="16">
        <f>testdata[[#This Row],[close]]-testdata[[#This Row],[SMA(TW)]]</f>
        <v>-10.587999999999965</v>
      </c>
      <c r="M448"/>
    </row>
    <row r="449" spans="1:13" x14ac:dyDescent="0.25">
      <c r="A449" s="6">
        <v>448</v>
      </c>
      <c r="B449" s="3">
        <v>43384</v>
      </c>
      <c r="C449" s="2">
        <v>270.35000000000002</v>
      </c>
      <c r="D449" s="2">
        <v>272.13</v>
      </c>
      <c r="E449" s="2">
        <v>263.8</v>
      </c>
      <c r="F449" s="2">
        <v>265.56</v>
      </c>
      <c r="G449" s="1">
        <v>281680000</v>
      </c>
      <c r="H449" s="8">
        <f t="shared" si="12"/>
        <v>281.6105</v>
      </c>
      <c r="I449" s="19">
        <f t="shared" si="13"/>
        <v>282.21199999999993</v>
      </c>
      <c r="J449" s="8">
        <f>testdata[[#This Row],[SMA(20)]]+0.025*testdata[[#This Row],[SMA(20)]]</f>
        <v>288.65076249999998</v>
      </c>
      <c r="K449" s="8">
        <f>testdata[[#This Row],[SMA(20)]]-0.025*testdata[[#This Row],[SMA(20)]]</f>
        <v>274.57023750000002</v>
      </c>
      <c r="L449" s="16">
        <f>testdata[[#This Row],[close]]-testdata[[#This Row],[SMA(TW)]]</f>
        <v>-16.65199999999993</v>
      </c>
      <c r="M449"/>
    </row>
    <row r="450" spans="1:13" x14ac:dyDescent="0.25">
      <c r="A450" s="6">
        <v>449</v>
      </c>
      <c r="B450" s="3">
        <v>43385</v>
      </c>
      <c r="C450" s="2">
        <v>270.05</v>
      </c>
      <c r="D450" s="2">
        <v>270.36</v>
      </c>
      <c r="E450" s="2">
        <v>265.76</v>
      </c>
      <c r="F450" s="2">
        <v>269.25</v>
      </c>
      <c r="G450" s="1">
        <v>187745152</v>
      </c>
      <c r="H450" s="8">
        <f t="shared" si="12"/>
        <v>280.94600000000003</v>
      </c>
      <c r="I450" s="19">
        <f t="shared" si="13"/>
        <v>282.34549999999996</v>
      </c>
      <c r="J450" s="8">
        <f>testdata[[#This Row],[SMA(20)]]+0.025*testdata[[#This Row],[SMA(20)]]</f>
        <v>287.96965</v>
      </c>
      <c r="K450" s="8">
        <f>testdata[[#This Row],[SMA(20)]]-0.025*testdata[[#This Row],[SMA(20)]]</f>
        <v>273.92235000000005</v>
      </c>
      <c r="L450" s="16">
        <f>testdata[[#This Row],[close]]-testdata[[#This Row],[SMA(TW)]]</f>
        <v>-13.095499999999959</v>
      </c>
      <c r="M450"/>
    </row>
    <row r="451" spans="1:13" x14ac:dyDescent="0.25">
      <c r="A451" s="6">
        <v>450</v>
      </c>
      <c r="B451" s="3">
        <v>43388</v>
      </c>
      <c r="C451" s="2">
        <v>268.86</v>
      </c>
      <c r="D451" s="2">
        <v>270.31</v>
      </c>
      <c r="E451" s="2">
        <v>267.64</v>
      </c>
      <c r="F451" s="2">
        <v>267.74</v>
      </c>
      <c r="G451" s="1">
        <v>104808584</v>
      </c>
      <c r="H451" s="8">
        <f t="shared" si="12"/>
        <v>280.28100000000001</v>
      </c>
      <c r="I451" s="19">
        <f t="shared" si="13"/>
        <v>282.49449999999996</v>
      </c>
      <c r="J451" s="8">
        <f>testdata[[#This Row],[SMA(20)]]+0.025*testdata[[#This Row],[SMA(20)]]</f>
        <v>287.288025</v>
      </c>
      <c r="K451" s="8">
        <f>testdata[[#This Row],[SMA(20)]]-0.025*testdata[[#This Row],[SMA(20)]]</f>
        <v>273.27397500000001</v>
      </c>
      <c r="L451" s="16">
        <f>testdata[[#This Row],[close]]-testdata[[#This Row],[SMA(TW)]]</f>
        <v>-14.75449999999995</v>
      </c>
      <c r="M451"/>
    </row>
    <row r="452" spans="1:13" x14ac:dyDescent="0.25">
      <c r="A452" s="6">
        <v>451</v>
      </c>
      <c r="B452" s="3">
        <v>43389</v>
      </c>
      <c r="C452" s="2">
        <v>269.88</v>
      </c>
      <c r="D452" s="2">
        <v>274</v>
      </c>
      <c r="E452" s="2">
        <v>269.37</v>
      </c>
      <c r="F452" s="2">
        <v>273.58999999999997</v>
      </c>
      <c r="G452" s="1">
        <v>121198672</v>
      </c>
      <c r="H452" s="8">
        <f t="shared" si="12"/>
        <v>279.83199999999999</v>
      </c>
      <c r="I452" s="19">
        <f t="shared" si="13"/>
        <v>282.68950000000001</v>
      </c>
      <c r="J452" s="8">
        <f>testdata[[#This Row],[SMA(20)]]+0.025*testdata[[#This Row],[SMA(20)]]</f>
        <v>286.82779999999997</v>
      </c>
      <c r="K452" s="8">
        <f>testdata[[#This Row],[SMA(20)]]-0.025*testdata[[#This Row],[SMA(20)]]</f>
        <v>272.83620000000002</v>
      </c>
      <c r="L452" s="16">
        <f>testdata[[#This Row],[close]]-testdata[[#This Row],[SMA(TW)]]</f>
        <v>-9.0995000000000346</v>
      </c>
      <c r="M452"/>
    </row>
    <row r="453" spans="1:13" x14ac:dyDescent="0.25">
      <c r="A453" s="6">
        <v>452</v>
      </c>
      <c r="B453" s="3">
        <v>43390</v>
      </c>
      <c r="C453" s="2">
        <v>273.63</v>
      </c>
      <c r="D453" s="2">
        <v>274.32</v>
      </c>
      <c r="E453" s="2">
        <v>270.82</v>
      </c>
      <c r="F453" s="2">
        <v>273.64</v>
      </c>
      <c r="G453" s="1">
        <v>113378952</v>
      </c>
      <c r="H453" s="8">
        <f t="shared" si="12"/>
        <v>279.37050000000005</v>
      </c>
      <c r="I453" s="19">
        <f t="shared" si="13"/>
        <v>282.815</v>
      </c>
      <c r="J453" s="8">
        <f>testdata[[#This Row],[SMA(20)]]+0.025*testdata[[#This Row],[SMA(20)]]</f>
        <v>286.35476250000005</v>
      </c>
      <c r="K453" s="8">
        <f>testdata[[#This Row],[SMA(20)]]-0.025*testdata[[#This Row],[SMA(20)]]</f>
        <v>272.38623750000005</v>
      </c>
      <c r="L453" s="16">
        <f>testdata[[#This Row],[close]]-testdata[[#This Row],[SMA(TW)]]</f>
        <v>-9.1750000000000114</v>
      </c>
      <c r="M453"/>
    </row>
    <row r="454" spans="1:13" x14ac:dyDescent="0.25">
      <c r="A454" s="6">
        <v>453</v>
      </c>
      <c r="B454" s="3">
        <v>43391</v>
      </c>
      <c r="C454" s="2">
        <v>272.62</v>
      </c>
      <c r="D454" s="2">
        <v>273.27</v>
      </c>
      <c r="E454" s="2">
        <v>268.29000000000002</v>
      </c>
      <c r="F454" s="2">
        <v>269.69</v>
      </c>
      <c r="G454" s="1">
        <v>137906032</v>
      </c>
      <c r="H454" s="8">
        <f t="shared" si="12"/>
        <v>278.59699999999998</v>
      </c>
      <c r="I454" s="19">
        <f t="shared" si="13"/>
        <v>282.88900000000001</v>
      </c>
      <c r="J454" s="8">
        <f>testdata[[#This Row],[SMA(20)]]+0.025*testdata[[#This Row],[SMA(20)]]</f>
        <v>285.56192499999997</v>
      </c>
      <c r="K454" s="8">
        <f>testdata[[#This Row],[SMA(20)]]-0.025*testdata[[#This Row],[SMA(20)]]</f>
        <v>271.63207499999999</v>
      </c>
      <c r="L454" s="16">
        <f>testdata[[#This Row],[close]]-testdata[[#This Row],[SMA(TW)]]</f>
        <v>-13.199000000000012</v>
      </c>
      <c r="M454"/>
    </row>
    <row r="455" spans="1:13" x14ac:dyDescent="0.25">
      <c r="A455" s="6">
        <v>454</v>
      </c>
      <c r="B455" s="3">
        <v>43392</v>
      </c>
      <c r="C455" s="2">
        <v>270.39999999999998</v>
      </c>
      <c r="D455" s="2">
        <v>272.52</v>
      </c>
      <c r="E455" s="2">
        <v>268.77999999999997</v>
      </c>
      <c r="F455" s="2">
        <v>269.54000000000002</v>
      </c>
      <c r="G455" s="1">
        <v>143383136</v>
      </c>
      <c r="H455" s="8">
        <f t="shared" si="12"/>
        <v>277.82899999999995</v>
      </c>
      <c r="I455" s="19">
        <f t="shared" si="13"/>
        <v>282.93849999999998</v>
      </c>
      <c r="J455" s="8">
        <f>testdata[[#This Row],[SMA(20)]]+0.025*testdata[[#This Row],[SMA(20)]]</f>
        <v>284.77472499999993</v>
      </c>
      <c r="K455" s="8">
        <f>testdata[[#This Row],[SMA(20)]]-0.025*testdata[[#This Row],[SMA(20)]]</f>
        <v>270.88327499999997</v>
      </c>
      <c r="L455" s="16">
        <f>testdata[[#This Row],[close]]-testdata[[#This Row],[SMA(TW)]]</f>
        <v>-13.398499999999956</v>
      </c>
      <c r="M455"/>
    </row>
    <row r="456" spans="1:13" x14ac:dyDescent="0.25">
      <c r="A456" s="6">
        <v>455</v>
      </c>
      <c r="B456" s="3">
        <v>43395</v>
      </c>
      <c r="C456" s="2">
        <v>270.27</v>
      </c>
      <c r="D456" s="2">
        <v>270.63</v>
      </c>
      <c r="E456" s="2">
        <v>267.75</v>
      </c>
      <c r="F456" s="2">
        <v>268.33</v>
      </c>
      <c r="G456" s="1">
        <v>84466760</v>
      </c>
      <c r="H456" s="8">
        <f t="shared" si="12"/>
        <v>277.04799999999994</v>
      </c>
      <c r="I456" s="19">
        <f t="shared" si="13"/>
        <v>282.92149999999998</v>
      </c>
      <c r="J456" s="8">
        <f>testdata[[#This Row],[SMA(20)]]+0.025*testdata[[#This Row],[SMA(20)]]</f>
        <v>283.97419999999994</v>
      </c>
      <c r="K456" s="8">
        <f>testdata[[#This Row],[SMA(20)]]-0.025*testdata[[#This Row],[SMA(20)]]</f>
        <v>270.12179999999995</v>
      </c>
      <c r="L456" s="16">
        <f>testdata[[#This Row],[close]]-testdata[[#This Row],[SMA(TW)]]</f>
        <v>-14.591499999999996</v>
      </c>
      <c r="M456"/>
    </row>
    <row r="457" spans="1:13" x14ac:dyDescent="0.25">
      <c r="A457" s="6">
        <v>456</v>
      </c>
      <c r="B457" s="3">
        <v>43396</v>
      </c>
      <c r="C457" s="2">
        <v>264.37</v>
      </c>
      <c r="D457" s="2">
        <v>268.2</v>
      </c>
      <c r="E457" s="2">
        <v>262.08999999999997</v>
      </c>
      <c r="F457" s="2">
        <v>266.97000000000003</v>
      </c>
      <c r="G457" s="1">
        <v>149994752</v>
      </c>
      <c r="H457" s="8">
        <f t="shared" si="12"/>
        <v>276.21200000000005</v>
      </c>
      <c r="I457" s="19">
        <f t="shared" si="13"/>
        <v>282.45699999999999</v>
      </c>
      <c r="J457" s="8">
        <f>testdata[[#This Row],[SMA(20)]]+0.025*testdata[[#This Row],[SMA(20)]]</f>
        <v>283.11730000000006</v>
      </c>
      <c r="K457" s="8">
        <f>testdata[[#This Row],[SMA(20)]]-0.025*testdata[[#This Row],[SMA(20)]]</f>
        <v>269.30670000000003</v>
      </c>
      <c r="L457" s="16">
        <f>testdata[[#This Row],[close]]-testdata[[#This Row],[SMA(TW)]]</f>
        <v>-15.486999999999966</v>
      </c>
      <c r="M457"/>
    </row>
    <row r="458" spans="1:13" x14ac:dyDescent="0.25">
      <c r="A458" s="6">
        <v>457</v>
      </c>
      <c r="B458" s="3">
        <v>43397</v>
      </c>
      <c r="C458" s="2">
        <v>266.69</v>
      </c>
      <c r="D458" s="2">
        <v>267.11</v>
      </c>
      <c r="E458" s="2">
        <v>258.27</v>
      </c>
      <c r="F458" s="2">
        <v>258.88</v>
      </c>
      <c r="G458" s="1">
        <v>182231472</v>
      </c>
      <c r="H458" s="8">
        <f t="shared" si="12"/>
        <v>275.01400000000001</v>
      </c>
      <c r="I458" s="19">
        <f t="shared" si="13"/>
        <v>281.6105</v>
      </c>
      <c r="J458" s="8">
        <f>testdata[[#This Row],[SMA(20)]]+0.025*testdata[[#This Row],[SMA(20)]]</f>
        <v>281.88935000000004</v>
      </c>
      <c r="K458" s="8">
        <f>testdata[[#This Row],[SMA(20)]]-0.025*testdata[[#This Row],[SMA(20)]]</f>
        <v>268.13864999999998</v>
      </c>
      <c r="L458" s="16">
        <f>testdata[[#This Row],[close]]-testdata[[#This Row],[SMA(TW)]]</f>
        <v>-22.730500000000006</v>
      </c>
      <c r="M458"/>
    </row>
    <row r="459" spans="1:13" x14ac:dyDescent="0.25">
      <c r="A459" s="6">
        <v>458</v>
      </c>
      <c r="B459" s="3">
        <v>43398</v>
      </c>
      <c r="C459" s="2">
        <v>260.89</v>
      </c>
      <c r="D459" s="2">
        <v>265.20999999999998</v>
      </c>
      <c r="E459" s="2">
        <v>259.77</v>
      </c>
      <c r="F459" s="2">
        <v>263.52</v>
      </c>
      <c r="G459" s="1">
        <v>141497248</v>
      </c>
      <c r="H459" s="8">
        <f t="shared" si="12"/>
        <v>274.00850000000003</v>
      </c>
      <c r="I459" s="19">
        <f t="shared" si="13"/>
        <v>280.94600000000003</v>
      </c>
      <c r="J459" s="8">
        <f>testdata[[#This Row],[SMA(20)]]+0.025*testdata[[#This Row],[SMA(20)]]</f>
        <v>280.85871250000002</v>
      </c>
      <c r="K459" s="8">
        <f>testdata[[#This Row],[SMA(20)]]-0.025*testdata[[#This Row],[SMA(20)]]</f>
        <v>267.15828750000003</v>
      </c>
      <c r="L459" s="16">
        <f>testdata[[#This Row],[close]]-testdata[[#This Row],[SMA(TW)]]</f>
        <v>-17.426000000000045</v>
      </c>
      <c r="M459"/>
    </row>
    <row r="460" spans="1:13" x14ac:dyDescent="0.25">
      <c r="A460" s="6">
        <v>459</v>
      </c>
      <c r="B460" s="3">
        <v>43399</v>
      </c>
      <c r="C460" s="2">
        <v>259.45999999999998</v>
      </c>
      <c r="D460" s="2">
        <v>264.42</v>
      </c>
      <c r="E460" s="2">
        <v>255.92</v>
      </c>
      <c r="F460" s="2">
        <v>258.89</v>
      </c>
      <c r="G460" s="1">
        <v>206590848</v>
      </c>
      <c r="H460" s="8">
        <f t="shared" si="12"/>
        <v>272.77000000000004</v>
      </c>
      <c r="I460" s="19">
        <f t="shared" si="13"/>
        <v>280.28100000000001</v>
      </c>
      <c r="J460" s="8">
        <f>testdata[[#This Row],[SMA(20)]]+0.025*testdata[[#This Row],[SMA(20)]]</f>
        <v>279.58925000000005</v>
      </c>
      <c r="K460" s="8">
        <f>testdata[[#This Row],[SMA(20)]]-0.025*testdata[[#This Row],[SMA(20)]]</f>
        <v>265.95075000000003</v>
      </c>
      <c r="L460" s="16">
        <f>testdata[[#This Row],[close]]-testdata[[#This Row],[SMA(TW)]]</f>
        <v>-21.39100000000002</v>
      </c>
      <c r="M460"/>
    </row>
    <row r="461" spans="1:13" x14ac:dyDescent="0.25">
      <c r="A461" s="6">
        <v>460</v>
      </c>
      <c r="B461" s="3">
        <v>43402</v>
      </c>
      <c r="C461" s="2">
        <v>262.27</v>
      </c>
      <c r="D461" s="2">
        <v>263.69</v>
      </c>
      <c r="E461" s="2">
        <v>253.54</v>
      </c>
      <c r="F461" s="2">
        <v>257.45</v>
      </c>
      <c r="G461" s="1">
        <v>164749392</v>
      </c>
      <c r="H461" s="8">
        <f t="shared" si="12"/>
        <v>271.41000000000003</v>
      </c>
      <c r="I461" s="19">
        <f t="shared" si="13"/>
        <v>279.83199999999999</v>
      </c>
      <c r="J461" s="8">
        <f>testdata[[#This Row],[SMA(20)]]+0.025*testdata[[#This Row],[SMA(20)]]</f>
        <v>278.19525000000004</v>
      </c>
      <c r="K461" s="8">
        <f>testdata[[#This Row],[SMA(20)]]-0.025*testdata[[#This Row],[SMA(20)]]</f>
        <v>264.62475000000001</v>
      </c>
      <c r="L461" s="16">
        <f>testdata[[#This Row],[close]]-testdata[[#This Row],[SMA(TW)]]</f>
        <v>-22.382000000000005</v>
      </c>
      <c r="M461"/>
    </row>
    <row r="462" spans="1:13" x14ac:dyDescent="0.25">
      <c r="A462" s="6">
        <v>461</v>
      </c>
      <c r="B462" s="3">
        <v>43403</v>
      </c>
      <c r="C462" s="2">
        <v>257.27</v>
      </c>
      <c r="D462" s="2">
        <v>261.61</v>
      </c>
      <c r="E462" s="2">
        <v>256.73</v>
      </c>
      <c r="F462" s="2">
        <v>261.27</v>
      </c>
      <c r="G462" s="1">
        <v>161025888</v>
      </c>
      <c r="H462" s="8">
        <f t="shared" si="12"/>
        <v>270.24950000000001</v>
      </c>
      <c r="I462" s="19">
        <f t="shared" si="13"/>
        <v>279.37050000000005</v>
      </c>
      <c r="J462" s="8">
        <f>testdata[[#This Row],[SMA(20)]]+0.025*testdata[[#This Row],[SMA(20)]]</f>
        <v>277.00573750000001</v>
      </c>
      <c r="K462" s="8">
        <f>testdata[[#This Row],[SMA(20)]]-0.025*testdata[[#This Row],[SMA(20)]]</f>
        <v>263.49326250000001</v>
      </c>
      <c r="L462" s="16">
        <f>testdata[[#This Row],[close]]-testdata[[#This Row],[SMA(TW)]]</f>
        <v>-18.100500000000068</v>
      </c>
      <c r="M462"/>
    </row>
    <row r="463" spans="1:13" x14ac:dyDescent="0.25">
      <c r="A463" s="6">
        <v>462</v>
      </c>
      <c r="B463" s="3">
        <v>43404</v>
      </c>
      <c r="C463" s="2">
        <v>264.08</v>
      </c>
      <c r="D463" s="2">
        <v>266.60000000000002</v>
      </c>
      <c r="E463" s="2">
        <v>263.56</v>
      </c>
      <c r="F463" s="2">
        <v>264.06</v>
      </c>
      <c r="G463" s="1">
        <v>131489024</v>
      </c>
      <c r="H463" s="8">
        <f t="shared" si="12"/>
        <v>269.22050000000002</v>
      </c>
      <c r="I463" s="19">
        <f t="shared" si="13"/>
        <v>278.59699999999998</v>
      </c>
      <c r="J463" s="8">
        <f>testdata[[#This Row],[SMA(20)]]+0.025*testdata[[#This Row],[SMA(20)]]</f>
        <v>275.95101249999999</v>
      </c>
      <c r="K463" s="8">
        <f>testdata[[#This Row],[SMA(20)]]-0.025*testdata[[#This Row],[SMA(20)]]</f>
        <v>262.48998750000004</v>
      </c>
      <c r="L463" s="16">
        <f>testdata[[#This Row],[close]]-testdata[[#This Row],[SMA(TW)]]</f>
        <v>-14.536999999999978</v>
      </c>
      <c r="M463"/>
    </row>
    <row r="464" spans="1:13" x14ac:dyDescent="0.25">
      <c r="A464" s="6">
        <v>463</v>
      </c>
      <c r="B464" s="3">
        <v>43405</v>
      </c>
      <c r="C464" s="2">
        <v>265.01</v>
      </c>
      <c r="D464" s="2">
        <v>267.08</v>
      </c>
      <c r="E464" s="2">
        <v>263.81</v>
      </c>
      <c r="F464" s="2">
        <v>266.87</v>
      </c>
      <c r="G464" s="1">
        <v>101971008</v>
      </c>
      <c r="H464" s="8">
        <f t="shared" si="12"/>
        <v>268.44349999999997</v>
      </c>
      <c r="I464" s="19">
        <f t="shared" si="13"/>
        <v>277.82899999999995</v>
      </c>
      <c r="J464" s="8">
        <f>testdata[[#This Row],[SMA(20)]]+0.025*testdata[[#This Row],[SMA(20)]]</f>
        <v>275.15458749999999</v>
      </c>
      <c r="K464" s="8">
        <f>testdata[[#This Row],[SMA(20)]]-0.025*testdata[[#This Row],[SMA(20)]]</f>
        <v>261.73241249999995</v>
      </c>
      <c r="L464" s="16">
        <f>testdata[[#This Row],[close]]-testdata[[#This Row],[SMA(TW)]]</f>
        <v>-10.958999999999946</v>
      </c>
      <c r="M464"/>
    </row>
    <row r="465" spans="1:13" x14ac:dyDescent="0.25">
      <c r="A465" s="6">
        <v>464</v>
      </c>
      <c r="B465" s="3">
        <v>43406</v>
      </c>
      <c r="C465" s="2">
        <v>268.08</v>
      </c>
      <c r="D465" s="2">
        <v>268.55</v>
      </c>
      <c r="E465" s="2">
        <v>263.04000000000002</v>
      </c>
      <c r="F465" s="2">
        <v>265.29000000000002</v>
      </c>
      <c r="G465" s="1">
        <v>125685896</v>
      </c>
      <c r="H465" s="8">
        <f t="shared" si="12"/>
        <v>267.66649999999993</v>
      </c>
      <c r="I465" s="19">
        <f t="shared" si="13"/>
        <v>277.04799999999994</v>
      </c>
      <c r="J465" s="8">
        <f>testdata[[#This Row],[SMA(20)]]+0.025*testdata[[#This Row],[SMA(20)]]</f>
        <v>274.35816249999993</v>
      </c>
      <c r="K465" s="8">
        <f>testdata[[#This Row],[SMA(20)]]-0.025*testdata[[#This Row],[SMA(20)]]</f>
        <v>260.97483749999992</v>
      </c>
      <c r="L465" s="16">
        <f>testdata[[#This Row],[close]]-testdata[[#This Row],[SMA(TW)]]</f>
        <v>-11.757999999999925</v>
      </c>
      <c r="M465"/>
    </row>
    <row r="466" spans="1:13" x14ac:dyDescent="0.25">
      <c r="A466" s="6">
        <v>465</v>
      </c>
      <c r="B466" s="3">
        <v>43409</v>
      </c>
      <c r="C466" s="2">
        <v>265.82</v>
      </c>
      <c r="D466" s="2">
        <v>267.36</v>
      </c>
      <c r="E466" s="2">
        <v>264.76</v>
      </c>
      <c r="F466" s="2">
        <v>266.75</v>
      </c>
      <c r="G466" s="1">
        <v>67255520</v>
      </c>
      <c r="H466" s="8">
        <f t="shared" si="12"/>
        <v>266.96249999999998</v>
      </c>
      <c r="I466" s="19">
        <f t="shared" si="13"/>
        <v>276.21200000000005</v>
      </c>
      <c r="J466" s="8">
        <f>testdata[[#This Row],[SMA(20)]]+0.025*testdata[[#This Row],[SMA(20)]]</f>
        <v>273.63656249999997</v>
      </c>
      <c r="K466" s="8">
        <f>testdata[[#This Row],[SMA(20)]]-0.025*testdata[[#This Row],[SMA(20)]]</f>
        <v>260.28843749999999</v>
      </c>
      <c r="L466" s="16">
        <f>testdata[[#This Row],[close]]-testdata[[#This Row],[SMA(TW)]]</f>
        <v>-9.4620000000000459</v>
      </c>
      <c r="M466"/>
    </row>
    <row r="467" spans="1:13" x14ac:dyDescent="0.25">
      <c r="A467" s="6">
        <v>466</v>
      </c>
      <c r="B467" s="3">
        <v>43410</v>
      </c>
      <c r="C467" s="2">
        <v>266.68</v>
      </c>
      <c r="D467" s="2">
        <v>268.62</v>
      </c>
      <c r="E467" s="2">
        <v>266.62</v>
      </c>
      <c r="F467" s="2">
        <v>268.44</v>
      </c>
      <c r="G467" s="1">
        <v>61581152</v>
      </c>
      <c r="H467" s="8">
        <f t="shared" si="12"/>
        <v>266.36349999999999</v>
      </c>
      <c r="I467" s="19">
        <f t="shared" si="13"/>
        <v>275.01400000000001</v>
      </c>
      <c r="J467" s="8">
        <f>testdata[[#This Row],[SMA(20)]]+0.025*testdata[[#This Row],[SMA(20)]]</f>
        <v>273.02258749999999</v>
      </c>
      <c r="K467" s="8">
        <f>testdata[[#This Row],[SMA(20)]]-0.025*testdata[[#This Row],[SMA(20)]]</f>
        <v>259.70441249999999</v>
      </c>
      <c r="L467" s="16">
        <f>testdata[[#This Row],[close]]-testdata[[#This Row],[SMA(TW)]]</f>
        <v>-6.5740000000000123</v>
      </c>
      <c r="M467"/>
    </row>
    <row r="468" spans="1:13" x14ac:dyDescent="0.25">
      <c r="A468" s="6">
        <v>467</v>
      </c>
      <c r="B468" s="3">
        <v>43411</v>
      </c>
      <c r="C468" s="2">
        <v>270.82</v>
      </c>
      <c r="D468" s="2">
        <v>274.27</v>
      </c>
      <c r="E468" s="2">
        <v>270.35000000000002</v>
      </c>
      <c r="F468" s="2">
        <v>274.19</v>
      </c>
      <c r="G468" s="1">
        <v>105309120</v>
      </c>
      <c r="H468" s="8">
        <f t="shared" si="12"/>
        <v>266.49599999999992</v>
      </c>
      <c r="I468" s="19">
        <f t="shared" si="13"/>
        <v>274.00850000000003</v>
      </c>
      <c r="J468" s="8">
        <f>testdata[[#This Row],[SMA(20)]]+0.025*testdata[[#This Row],[SMA(20)]]</f>
        <v>273.15839999999992</v>
      </c>
      <c r="K468" s="8">
        <f>testdata[[#This Row],[SMA(20)]]-0.025*testdata[[#This Row],[SMA(20)]]</f>
        <v>259.83359999999993</v>
      </c>
      <c r="L468" s="16">
        <f>testdata[[#This Row],[close]]-testdata[[#This Row],[SMA(TW)]]</f>
        <v>0.18149999999997135</v>
      </c>
      <c r="M468"/>
    </row>
    <row r="469" spans="1:13" x14ac:dyDescent="0.25">
      <c r="A469" s="6">
        <v>468</v>
      </c>
      <c r="B469" s="3">
        <v>43412</v>
      </c>
      <c r="C469" s="2">
        <v>273.31</v>
      </c>
      <c r="D469" s="2">
        <v>274.39</v>
      </c>
      <c r="E469" s="2">
        <v>272.44</v>
      </c>
      <c r="F469" s="2">
        <v>273.69</v>
      </c>
      <c r="G469" s="1">
        <v>67216992</v>
      </c>
      <c r="H469" s="8">
        <f t="shared" si="12"/>
        <v>266.90249999999992</v>
      </c>
      <c r="I469" s="19">
        <f t="shared" si="13"/>
        <v>272.77000000000004</v>
      </c>
      <c r="J469" s="8">
        <f>testdata[[#This Row],[SMA(20)]]+0.025*testdata[[#This Row],[SMA(20)]]</f>
        <v>273.57506249999994</v>
      </c>
      <c r="K469" s="8">
        <f>testdata[[#This Row],[SMA(20)]]-0.025*testdata[[#This Row],[SMA(20)]]</f>
        <v>260.22993749999989</v>
      </c>
      <c r="L469" s="16">
        <f>testdata[[#This Row],[close]]-testdata[[#This Row],[SMA(TW)]]</f>
        <v>0.91999999999995907</v>
      </c>
      <c r="M469"/>
    </row>
    <row r="470" spans="1:13" x14ac:dyDescent="0.25">
      <c r="A470" s="6">
        <v>469</v>
      </c>
      <c r="B470" s="3">
        <v>43413</v>
      </c>
      <c r="C470" s="2">
        <v>272.25</v>
      </c>
      <c r="D470" s="2">
        <v>272.45999999999998</v>
      </c>
      <c r="E470" s="2">
        <v>269.47000000000003</v>
      </c>
      <c r="F470" s="2">
        <v>271.02</v>
      </c>
      <c r="G470" s="1">
        <v>101271544</v>
      </c>
      <c r="H470" s="8">
        <f t="shared" ref="H470:H503" si="14">AVERAGE(F451:F470)</f>
        <v>266.99099999999987</v>
      </c>
      <c r="I470" s="19">
        <f t="shared" si="13"/>
        <v>271.41000000000003</v>
      </c>
      <c r="J470" s="8">
        <f>testdata[[#This Row],[SMA(20)]]+0.025*testdata[[#This Row],[SMA(20)]]</f>
        <v>273.66577499999988</v>
      </c>
      <c r="K470" s="8">
        <f>testdata[[#This Row],[SMA(20)]]-0.025*testdata[[#This Row],[SMA(20)]]</f>
        <v>260.31622499999986</v>
      </c>
      <c r="L470" s="16">
        <f>testdata[[#This Row],[close]]-testdata[[#This Row],[SMA(TW)]]</f>
        <v>-0.3900000000000432</v>
      </c>
      <c r="M470"/>
    </row>
    <row r="471" spans="1:13" x14ac:dyDescent="0.25">
      <c r="A471" s="6">
        <v>470</v>
      </c>
      <c r="B471" s="3">
        <v>43416</v>
      </c>
      <c r="C471" s="2">
        <v>270.45999999999998</v>
      </c>
      <c r="D471" s="2">
        <v>270.72000000000003</v>
      </c>
      <c r="E471" s="2">
        <v>265.39</v>
      </c>
      <c r="F471" s="2">
        <v>265.95</v>
      </c>
      <c r="G471" s="1">
        <v>102153984</v>
      </c>
      <c r="H471" s="8">
        <f t="shared" si="14"/>
        <v>266.90149999999988</v>
      </c>
      <c r="I471" s="19">
        <f t="shared" si="13"/>
        <v>270.24950000000001</v>
      </c>
      <c r="J471" s="8">
        <f>testdata[[#This Row],[SMA(20)]]+0.025*testdata[[#This Row],[SMA(20)]]</f>
        <v>273.57403749999986</v>
      </c>
      <c r="K471" s="8">
        <f>testdata[[#This Row],[SMA(20)]]-0.025*testdata[[#This Row],[SMA(20)]]</f>
        <v>260.22896249999991</v>
      </c>
      <c r="L471" s="16">
        <f>testdata[[#This Row],[close]]-testdata[[#This Row],[SMA(TW)]]</f>
        <v>-4.2995000000000232</v>
      </c>
      <c r="M471"/>
    </row>
    <row r="472" spans="1:13" x14ac:dyDescent="0.25">
      <c r="A472" s="6">
        <v>471</v>
      </c>
      <c r="B472" s="3">
        <v>43417</v>
      </c>
      <c r="C472" s="2">
        <v>266.45999999999998</v>
      </c>
      <c r="D472" s="2">
        <v>268.64</v>
      </c>
      <c r="E472" s="2">
        <v>264.66000000000003</v>
      </c>
      <c r="F472" s="2">
        <v>265.45</v>
      </c>
      <c r="G472" s="1">
        <v>100619768</v>
      </c>
      <c r="H472" s="8">
        <f t="shared" si="14"/>
        <v>266.4944999999999</v>
      </c>
      <c r="I472" s="19">
        <f t="shared" si="13"/>
        <v>269.22050000000002</v>
      </c>
      <c r="J472" s="8">
        <f>testdata[[#This Row],[SMA(20)]]+0.025*testdata[[#This Row],[SMA(20)]]</f>
        <v>273.15686249999987</v>
      </c>
      <c r="K472" s="8">
        <f>testdata[[#This Row],[SMA(20)]]-0.025*testdata[[#This Row],[SMA(20)]]</f>
        <v>259.83213749999993</v>
      </c>
      <c r="L472" s="16">
        <f>testdata[[#This Row],[close]]-testdata[[#This Row],[SMA(TW)]]</f>
        <v>-3.7705000000000268</v>
      </c>
      <c r="M472"/>
    </row>
    <row r="473" spans="1:13" x14ac:dyDescent="0.25">
      <c r="A473" s="6">
        <v>472</v>
      </c>
      <c r="B473" s="3">
        <v>43418</v>
      </c>
      <c r="C473" s="2">
        <v>267.5</v>
      </c>
      <c r="D473" s="2">
        <v>267.94</v>
      </c>
      <c r="E473" s="2">
        <v>261.93</v>
      </c>
      <c r="F473" s="2">
        <v>263.64</v>
      </c>
      <c r="G473" s="1">
        <v>128454960</v>
      </c>
      <c r="H473" s="8">
        <f t="shared" si="14"/>
        <v>265.9944999999999</v>
      </c>
      <c r="I473" s="19">
        <f t="shared" si="13"/>
        <v>268.44349999999997</v>
      </c>
      <c r="J473" s="8">
        <f>testdata[[#This Row],[SMA(20)]]+0.025*testdata[[#This Row],[SMA(20)]]</f>
        <v>272.64436249999989</v>
      </c>
      <c r="K473" s="8">
        <f>testdata[[#This Row],[SMA(20)]]-0.025*testdata[[#This Row],[SMA(20)]]</f>
        <v>259.34463749999992</v>
      </c>
      <c r="L473" s="16">
        <f>testdata[[#This Row],[close]]-testdata[[#This Row],[SMA(TW)]]</f>
        <v>-4.8034999999999854</v>
      </c>
      <c r="M473"/>
    </row>
    <row r="474" spans="1:13" x14ac:dyDescent="0.25">
      <c r="A474" s="6">
        <v>473</v>
      </c>
      <c r="B474" s="3">
        <v>43419</v>
      </c>
      <c r="C474" s="2">
        <v>262.25</v>
      </c>
      <c r="D474" s="2">
        <v>266.89999999999998</v>
      </c>
      <c r="E474" s="2">
        <v>260.52999999999997</v>
      </c>
      <c r="F474" s="2">
        <v>266.39</v>
      </c>
      <c r="G474" s="1">
        <v>138463488</v>
      </c>
      <c r="H474" s="8">
        <f t="shared" si="14"/>
        <v>265.8295</v>
      </c>
      <c r="I474" s="19">
        <f t="shared" si="13"/>
        <v>267.66649999999993</v>
      </c>
      <c r="J474" s="8">
        <f>testdata[[#This Row],[SMA(20)]]+0.025*testdata[[#This Row],[SMA(20)]]</f>
        <v>272.47523749999999</v>
      </c>
      <c r="K474" s="8">
        <f>testdata[[#This Row],[SMA(20)]]-0.025*testdata[[#This Row],[SMA(20)]]</f>
        <v>259.1837625</v>
      </c>
      <c r="L474" s="16">
        <f>testdata[[#This Row],[close]]-testdata[[#This Row],[SMA(TW)]]</f>
        <v>-1.2764999999999418</v>
      </c>
      <c r="M474"/>
    </row>
    <row r="475" spans="1:13" x14ac:dyDescent="0.25">
      <c r="A475" s="6">
        <v>474</v>
      </c>
      <c r="B475" s="3">
        <v>43420</v>
      </c>
      <c r="C475" s="2">
        <v>265.19</v>
      </c>
      <c r="D475" s="2">
        <v>268.08</v>
      </c>
      <c r="E475" s="2">
        <v>264.62</v>
      </c>
      <c r="F475" s="2">
        <v>267.08</v>
      </c>
      <c r="G475" s="1">
        <v>129820216</v>
      </c>
      <c r="H475" s="8">
        <f t="shared" si="14"/>
        <v>265.70650000000001</v>
      </c>
      <c r="I475" s="19">
        <f t="shared" si="13"/>
        <v>266.96249999999998</v>
      </c>
      <c r="J475" s="8">
        <f>testdata[[#This Row],[SMA(20)]]+0.025*testdata[[#This Row],[SMA(20)]]</f>
        <v>272.34916250000003</v>
      </c>
      <c r="K475" s="8">
        <f>testdata[[#This Row],[SMA(20)]]-0.025*testdata[[#This Row],[SMA(20)]]</f>
        <v>259.06383749999998</v>
      </c>
      <c r="L475" s="16">
        <f>testdata[[#This Row],[close]]-testdata[[#This Row],[SMA(TW)]]</f>
        <v>0.11750000000000682</v>
      </c>
      <c r="M475"/>
    </row>
    <row r="476" spans="1:13" x14ac:dyDescent="0.25">
      <c r="A476" s="6">
        <v>475</v>
      </c>
      <c r="B476" s="3">
        <v>43423</v>
      </c>
      <c r="C476" s="2">
        <v>266.42</v>
      </c>
      <c r="D476" s="2">
        <v>266.74</v>
      </c>
      <c r="E476" s="2">
        <v>261.56</v>
      </c>
      <c r="F476" s="2">
        <v>262.57</v>
      </c>
      <c r="G476" s="1">
        <v>105626432</v>
      </c>
      <c r="H476" s="8">
        <f t="shared" si="14"/>
        <v>265.41849999999999</v>
      </c>
      <c r="I476" s="19">
        <f t="shared" si="13"/>
        <v>266.36349999999999</v>
      </c>
      <c r="J476" s="8">
        <f>testdata[[#This Row],[SMA(20)]]+0.025*testdata[[#This Row],[SMA(20)]]</f>
        <v>272.05396250000001</v>
      </c>
      <c r="K476" s="8">
        <f>testdata[[#This Row],[SMA(20)]]-0.025*testdata[[#This Row],[SMA(20)]]</f>
        <v>258.78303749999998</v>
      </c>
      <c r="L476" s="16">
        <f>testdata[[#This Row],[close]]-testdata[[#This Row],[SMA(TW)]]</f>
        <v>-3.7934999999999945</v>
      </c>
      <c r="M476"/>
    </row>
    <row r="477" spans="1:13" x14ac:dyDescent="0.25">
      <c r="A477" s="6">
        <v>476</v>
      </c>
      <c r="B477" s="3">
        <v>43424</v>
      </c>
      <c r="C477" s="2">
        <v>258.92</v>
      </c>
      <c r="D477" s="2">
        <v>260.52</v>
      </c>
      <c r="E477" s="2">
        <v>256.76</v>
      </c>
      <c r="F477" s="2">
        <v>257.70999999999998</v>
      </c>
      <c r="G477" s="1">
        <v>139406240</v>
      </c>
      <c r="H477" s="8">
        <f t="shared" si="14"/>
        <v>264.95549999999997</v>
      </c>
      <c r="I477" s="19">
        <f t="shared" si="13"/>
        <v>266.49599999999992</v>
      </c>
      <c r="J477" s="8">
        <f>testdata[[#This Row],[SMA(20)]]+0.025*testdata[[#This Row],[SMA(20)]]</f>
        <v>271.5793875</v>
      </c>
      <c r="K477" s="8">
        <f>testdata[[#This Row],[SMA(20)]]-0.025*testdata[[#This Row],[SMA(20)]]</f>
        <v>258.33161249999995</v>
      </c>
      <c r="L477" s="16">
        <f>testdata[[#This Row],[close]]-testdata[[#This Row],[SMA(TW)]]</f>
        <v>-8.7859999999999445</v>
      </c>
      <c r="M477"/>
    </row>
    <row r="478" spans="1:13" x14ac:dyDescent="0.25">
      <c r="A478" s="6">
        <v>477</v>
      </c>
      <c r="B478" s="3">
        <v>43425</v>
      </c>
      <c r="C478" s="2">
        <v>259.39999999999998</v>
      </c>
      <c r="D478" s="2">
        <v>260.66000000000003</v>
      </c>
      <c r="E478" s="2">
        <v>258.58</v>
      </c>
      <c r="F478" s="2">
        <v>258.58</v>
      </c>
      <c r="G478" s="1">
        <v>77444168</v>
      </c>
      <c r="H478" s="8">
        <f t="shared" si="14"/>
        <v>264.94049999999999</v>
      </c>
      <c r="I478" s="19">
        <f t="shared" si="13"/>
        <v>266.90249999999992</v>
      </c>
      <c r="J478" s="8">
        <f>testdata[[#This Row],[SMA(20)]]+0.025*testdata[[#This Row],[SMA(20)]]</f>
        <v>271.56401249999999</v>
      </c>
      <c r="K478" s="8">
        <f>testdata[[#This Row],[SMA(20)]]-0.025*testdata[[#This Row],[SMA(20)]]</f>
        <v>258.31698749999998</v>
      </c>
      <c r="L478" s="16">
        <f>testdata[[#This Row],[close]]-testdata[[#This Row],[SMA(TW)]]</f>
        <v>-8.3224999999999341</v>
      </c>
      <c r="M478"/>
    </row>
    <row r="479" spans="1:13" x14ac:dyDescent="0.25">
      <c r="A479" s="6">
        <v>478</v>
      </c>
      <c r="B479" s="3">
        <v>43427</v>
      </c>
      <c r="C479" s="2">
        <v>256.79000000000002</v>
      </c>
      <c r="D479" s="2">
        <v>258.39</v>
      </c>
      <c r="E479" s="2">
        <v>256.68</v>
      </c>
      <c r="F479" s="2">
        <v>256.86</v>
      </c>
      <c r="G479" s="1">
        <v>43873168</v>
      </c>
      <c r="H479" s="8">
        <f t="shared" si="14"/>
        <v>264.60749999999996</v>
      </c>
      <c r="I479" s="19">
        <f t="shared" ref="I479:I503" si="15">AVERAGE(F451:F470)</f>
        <v>266.99099999999987</v>
      </c>
      <c r="J479" s="8">
        <f>testdata[[#This Row],[SMA(20)]]+0.025*testdata[[#This Row],[SMA(20)]]</f>
        <v>271.22268749999995</v>
      </c>
      <c r="K479" s="8">
        <f>testdata[[#This Row],[SMA(20)]]-0.025*testdata[[#This Row],[SMA(20)]]</f>
        <v>257.99231249999997</v>
      </c>
      <c r="L479" s="16">
        <f>testdata[[#This Row],[close]]-testdata[[#This Row],[SMA(TW)]]</f>
        <v>-10.130999999999858</v>
      </c>
      <c r="M479"/>
    </row>
    <row r="480" spans="1:13" x14ac:dyDescent="0.25">
      <c r="A480" s="6">
        <v>479</v>
      </c>
      <c r="B480" s="3">
        <v>43430</v>
      </c>
      <c r="C480" s="2">
        <v>259.33</v>
      </c>
      <c r="D480" s="2">
        <v>261.25</v>
      </c>
      <c r="E480" s="2">
        <v>258.89999999999998</v>
      </c>
      <c r="F480" s="2">
        <v>261</v>
      </c>
      <c r="G480" s="1">
        <v>81971728</v>
      </c>
      <c r="H480" s="8">
        <f t="shared" si="14"/>
        <v>264.71299999999997</v>
      </c>
      <c r="I480" s="19">
        <f t="shared" si="15"/>
        <v>266.90149999999988</v>
      </c>
      <c r="J480" s="8">
        <f>testdata[[#This Row],[SMA(20)]]+0.025*testdata[[#This Row],[SMA(20)]]</f>
        <v>271.33082499999995</v>
      </c>
      <c r="K480" s="8">
        <f>testdata[[#This Row],[SMA(20)]]-0.025*testdata[[#This Row],[SMA(20)]]</f>
        <v>258.09517499999998</v>
      </c>
      <c r="L480" s="16">
        <f>testdata[[#This Row],[close]]-testdata[[#This Row],[SMA(TW)]]</f>
        <v>-5.9014999999998849</v>
      </c>
      <c r="M480"/>
    </row>
    <row r="481" spans="1:13" x14ac:dyDescent="0.25">
      <c r="A481" s="6">
        <v>480</v>
      </c>
      <c r="B481" s="3">
        <v>43431</v>
      </c>
      <c r="C481" s="2">
        <v>259.87</v>
      </c>
      <c r="D481" s="2">
        <v>261.88</v>
      </c>
      <c r="E481" s="2">
        <v>259.20999999999998</v>
      </c>
      <c r="F481" s="2">
        <v>261.88</v>
      </c>
      <c r="G481" s="1">
        <v>77381344</v>
      </c>
      <c r="H481" s="8">
        <f t="shared" si="14"/>
        <v>264.93449999999996</v>
      </c>
      <c r="I481" s="19">
        <f t="shared" si="15"/>
        <v>266.4944999999999</v>
      </c>
      <c r="J481" s="8">
        <f>testdata[[#This Row],[SMA(20)]]+0.025*testdata[[#This Row],[SMA(20)]]</f>
        <v>271.55786249999994</v>
      </c>
      <c r="K481" s="8">
        <f>testdata[[#This Row],[SMA(20)]]-0.025*testdata[[#This Row],[SMA(20)]]</f>
        <v>258.31113749999997</v>
      </c>
      <c r="L481" s="16">
        <f>testdata[[#This Row],[close]]-testdata[[#This Row],[SMA(TW)]]</f>
        <v>-4.6144999999999072</v>
      </c>
      <c r="M481"/>
    </row>
    <row r="482" spans="1:13" x14ac:dyDescent="0.25">
      <c r="A482" s="6">
        <v>481</v>
      </c>
      <c r="B482" s="3">
        <v>43432</v>
      </c>
      <c r="C482" s="2">
        <v>263.05</v>
      </c>
      <c r="D482" s="2">
        <v>267.91000000000003</v>
      </c>
      <c r="E482" s="2">
        <v>261.81</v>
      </c>
      <c r="F482" s="2">
        <v>267.91000000000003</v>
      </c>
      <c r="G482" s="1">
        <v>130805744</v>
      </c>
      <c r="H482" s="8">
        <f t="shared" si="14"/>
        <v>265.26650000000001</v>
      </c>
      <c r="I482" s="19">
        <f t="shared" si="15"/>
        <v>265.9944999999999</v>
      </c>
      <c r="J482" s="8">
        <f>testdata[[#This Row],[SMA(20)]]+0.025*testdata[[#This Row],[SMA(20)]]</f>
        <v>271.89816250000001</v>
      </c>
      <c r="K482" s="8">
        <f>testdata[[#This Row],[SMA(20)]]-0.025*testdata[[#This Row],[SMA(20)]]</f>
        <v>258.6348375</v>
      </c>
      <c r="L482" s="16">
        <f>testdata[[#This Row],[close]]-testdata[[#This Row],[SMA(TW)]]</f>
        <v>1.9155000000001223</v>
      </c>
      <c r="M482"/>
    </row>
    <row r="483" spans="1:13" x14ac:dyDescent="0.25">
      <c r="A483" s="6">
        <v>482</v>
      </c>
      <c r="B483" s="3">
        <v>43433</v>
      </c>
      <c r="C483" s="2">
        <v>267.06</v>
      </c>
      <c r="D483" s="2">
        <v>268.86</v>
      </c>
      <c r="E483" s="2">
        <v>265.82</v>
      </c>
      <c r="F483" s="2">
        <v>267.33</v>
      </c>
      <c r="G483" s="1">
        <v>84395640</v>
      </c>
      <c r="H483" s="8">
        <f t="shared" si="14"/>
        <v>265.42999999999995</v>
      </c>
      <c r="I483" s="19">
        <f t="shared" si="15"/>
        <v>265.8295</v>
      </c>
      <c r="J483" s="8">
        <f>testdata[[#This Row],[SMA(20)]]+0.025*testdata[[#This Row],[SMA(20)]]</f>
        <v>272.06574999999992</v>
      </c>
      <c r="K483" s="8">
        <f>testdata[[#This Row],[SMA(20)]]-0.025*testdata[[#This Row],[SMA(20)]]</f>
        <v>258.79424999999998</v>
      </c>
      <c r="L483" s="16">
        <f>testdata[[#This Row],[close]]-testdata[[#This Row],[SMA(TW)]]</f>
        <v>1.5004999999999882</v>
      </c>
      <c r="M483"/>
    </row>
    <row r="484" spans="1:13" x14ac:dyDescent="0.25">
      <c r="A484" s="6">
        <v>483</v>
      </c>
      <c r="B484" s="3">
        <v>43434</v>
      </c>
      <c r="C484" s="2">
        <v>267.16000000000003</v>
      </c>
      <c r="D484" s="2">
        <v>269.57</v>
      </c>
      <c r="E484" s="2">
        <v>266.81</v>
      </c>
      <c r="F484" s="2">
        <v>268.95999999999998</v>
      </c>
      <c r="G484" s="1">
        <v>100648032</v>
      </c>
      <c r="H484" s="8">
        <f t="shared" si="14"/>
        <v>265.53450000000004</v>
      </c>
      <c r="I484" s="19">
        <f t="shared" si="15"/>
        <v>265.70650000000001</v>
      </c>
      <c r="J484" s="8">
        <f>testdata[[#This Row],[SMA(20)]]+0.025*testdata[[#This Row],[SMA(20)]]</f>
        <v>272.17286250000006</v>
      </c>
      <c r="K484" s="8">
        <f>testdata[[#This Row],[SMA(20)]]-0.025*testdata[[#This Row],[SMA(20)]]</f>
        <v>258.89613750000001</v>
      </c>
      <c r="L484" s="16">
        <f>testdata[[#This Row],[close]]-testdata[[#This Row],[SMA(TW)]]</f>
        <v>3.2534999999999741</v>
      </c>
      <c r="M484"/>
    </row>
    <row r="485" spans="1:13" x14ac:dyDescent="0.25">
      <c r="A485" s="6">
        <v>484</v>
      </c>
      <c r="B485" s="3">
        <v>43437</v>
      </c>
      <c r="C485" s="2">
        <v>273.47000000000003</v>
      </c>
      <c r="D485" s="2">
        <v>273.58999999999997</v>
      </c>
      <c r="E485" s="2">
        <v>270.77</v>
      </c>
      <c r="F485" s="2">
        <v>272.52</v>
      </c>
      <c r="G485" s="1">
        <v>105581352</v>
      </c>
      <c r="H485" s="8">
        <f t="shared" si="14"/>
        <v>265.89600000000002</v>
      </c>
      <c r="I485" s="19">
        <f t="shared" si="15"/>
        <v>265.41849999999999</v>
      </c>
      <c r="J485" s="8">
        <f>testdata[[#This Row],[SMA(20)]]+0.025*testdata[[#This Row],[SMA(20)]]</f>
        <v>272.54340000000002</v>
      </c>
      <c r="K485" s="8">
        <f>testdata[[#This Row],[SMA(20)]]-0.025*testdata[[#This Row],[SMA(20)]]</f>
        <v>259.24860000000001</v>
      </c>
      <c r="L485" s="16">
        <f>testdata[[#This Row],[close]]-testdata[[#This Row],[SMA(TW)]]</f>
        <v>7.1014999999999873</v>
      </c>
      <c r="M485"/>
    </row>
    <row r="486" spans="1:13" x14ac:dyDescent="0.25">
      <c r="A486" s="6">
        <v>485</v>
      </c>
      <c r="B486" s="3">
        <v>43438</v>
      </c>
      <c r="C486" s="2">
        <v>271.61</v>
      </c>
      <c r="D486" s="2">
        <v>272.08</v>
      </c>
      <c r="E486" s="2">
        <v>263.35000000000002</v>
      </c>
      <c r="F486" s="2">
        <v>263.69</v>
      </c>
      <c r="G486" s="1">
        <v>182415248</v>
      </c>
      <c r="H486" s="8">
        <f t="shared" si="14"/>
        <v>265.74299999999999</v>
      </c>
      <c r="I486" s="19">
        <f t="shared" si="15"/>
        <v>264.95549999999997</v>
      </c>
      <c r="J486" s="8">
        <f>testdata[[#This Row],[SMA(20)]]+0.025*testdata[[#This Row],[SMA(20)]]</f>
        <v>272.38657499999999</v>
      </c>
      <c r="K486" s="8">
        <f>testdata[[#This Row],[SMA(20)]]-0.025*testdata[[#This Row],[SMA(20)]]</f>
        <v>259.099425</v>
      </c>
      <c r="L486" s="16">
        <f>testdata[[#This Row],[close]]-testdata[[#This Row],[SMA(TW)]]</f>
        <v>-1.2654999999999745</v>
      </c>
      <c r="M486"/>
    </row>
    <row r="487" spans="1:13" x14ac:dyDescent="0.25">
      <c r="A487" s="6">
        <v>486</v>
      </c>
      <c r="B487" s="3">
        <v>43440</v>
      </c>
      <c r="C487" s="2">
        <v>259.45999999999998</v>
      </c>
      <c r="D487" s="2">
        <v>263.41000000000003</v>
      </c>
      <c r="E487" s="2">
        <v>256.07</v>
      </c>
      <c r="F487" s="2">
        <v>263.29000000000002</v>
      </c>
      <c r="G487" s="1">
        <v>209266640</v>
      </c>
      <c r="H487" s="8">
        <f t="shared" si="14"/>
        <v>265.48549999999994</v>
      </c>
      <c r="I487" s="19">
        <f t="shared" si="15"/>
        <v>264.94049999999999</v>
      </c>
      <c r="J487" s="8">
        <f>testdata[[#This Row],[SMA(20)]]+0.025*testdata[[#This Row],[SMA(20)]]</f>
        <v>272.12263749999994</v>
      </c>
      <c r="K487" s="8">
        <f>testdata[[#This Row],[SMA(20)]]-0.025*testdata[[#This Row],[SMA(20)]]</f>
        <v>258.84836249999995</v>
      </c>
      <c r="L487" s="16">
        <f>testdata[[#This Row],[close]]-testdata[[#This Row],[SMA(TW)]]</f>
        <v>-1.6504999999999654</v>
      </c>
      <c r="M487"/>
    </row>
    <row r="488" spans="1:13" x14ac:dyDescent="0.25">
      <c r="A488" s="6">
        <v>487</v>
      </c>
      <c r="B488" s="3">
        <v>43441</v>
      </c>
      <c r="C488" s="2">
        <v>262.92</v>
      </c>
      <c r="D488" s="2">
        <v>264.63</v>
      </c>
      <c r="E488" s="2">
        <v>256.25</v>
      </c>
      <c r="F488" s="2">
        <v>257.17</v>
      </c>
      <c r="G488" s="1">
        <v>165025936</v>
      </c>
      <c r="H488" s="8">
        <f t="shared" si="14"/>
        <v>264.63449999999995</v>
      </c>
      <c r="I488" s="19">
        <f t="shared" si="15"/>
        <v>264.60749999999996</v>
      </c>
      <c r="J488" s="8">
        <f>testdata[[#This Row],[SMA(20)]]+0.025*testdata[[#This Row],[SMA(20)]]</f>
        <v>271.25036249999994</v>
      </c>
      <c r="K488" s="8">
        <f>testdata[[#This Row],[SMA(20)]]-0.025*testdata[[#This Row],[SMA(20)]]</f>
        <v>258.01863749999995</v>
      </c>
      <c r="L488" s="16">
        <f>testdata[[#This Row],[close]]-testdata[[#This Row],[SMA(TW)]]</f>
        <v>-7.4374999999999432</v>
      </c>
      <c r="M488"/>
    </row>
    <row r="489" spans="1:13" x14ac:dyDescent="0.25">
      <c r="A489" s="6">
        <v>488</v>
      </c>
      <c r="B489" s="3">
        <v>43444</v>
      </c>
      <c r="C489" s="2">
        <v>256.98</v>
      </c>
      <c r="D489" s="2">
        <v>258.72000000000003</v>
      </c>
      <c r="E489" s="2">
        <v>252.34</v>
      </c>
      <c r="F489" s="2">
        <v>257.66000000000003</v>
      </c>
      <c r="G489" s="1">
        <v>155214672</v>
      </c>
      <c r="H489" s="8">
        <f t="shared" si="14"/>
        <v>263.83299999999997</v>
      </c>
      <c r="I489" s="19">
        <f t="shared" si="15"/>
        <v>264.71299999999997</v>
      </c>
      <c r="J489" s="8">
        <f>testdata[[#This Row],[SMA(20)]]+0.025*testdata[[#This Row],[SMA(20)]]</f>
        <v>270.42882499999996</v>
      </c>
      <c r="K489" s="8">
        <f>testdata[[#This Row],[SMA(20)]]-0.025*testdata[[#This Row],[SMA(20)]]</f>
        <v>257.23717499999998</v>
      </c>
      <c r="L489" s="16">
        <f>testdata[[#This Row],[close]]-testdata[[#This Row],[SMA(TW)]]</f>
        <v>-7.0529999999999404</v>
      </c>
      <c r="M489"/>
    </row>
    <row r="490" spans="1:13" x14ac:dyDescent="0.25">
      <c r="A490" s="6">
        <v>489</v>
      </c>
      <c r="B490" s="3">
        <v>43445</v>
      </c>
      <c r="C490" s="2">
        <v>261.16000000000003</v>
      </c>
      <c r="D490" s="2">
        <v>261.37</v>
      </c>
      <c r="E490" s="2">
        <v>256.11</v>
      </c>
      <c r="F490" s="2">
        <v>257.72000000000003</v>
      </c>
      <c r="G490" s="1">
        <v>124528112</v>
      </c>
      <c r="H490" s="8">
        <f t="shared" si="14"/>
        <v>263.16800000000001</v>
      </c>
      <c r="I490" s="19">
        <f t="shared" si="15"/>
        <v>264.93449999999996</v>
      </c>
      <c r="J490" s="8">
        <f>testdata[[#This Row],[SMA(20)]]+0.025*testdata[[#This Row],[SMA(20)]]</f>
        <v>269.74720000000002</v>
      </c>
      <c r="K490" s="8">
        <f>testdata[[#This Row],[SMA(20)]]-0.025*testdata[[#This Row],[SMA(20)]]</f>
        <v>256.58879999999999</v>
      </c>
      <c r="L490" s="16">
        <f>testdata[[#This Row],[close]]-testdata[[#This Row],[SMA(TW)]]</f>
        <v>-7.21449999999993</v>
      </c>
      <c r="M490"/>
    </row>
    <row r="491" spans="1:13" x14ac:dyDescent="0.25">
      <c r="A491" s="6">
        <v>490</v>
      </c>
      <c r="B491" s="3">
        <v>43446</v>
      </c>
      <c r="C491" s="2">
        <v>260.98</v>
      </c>
      <c r="D491" s="2">
        <v>262.47000000000003</v>
      </c>
      <c r="E491" s="2">
        <v>258.93</v>
      </c>
      <c r="F491" s="2">
        <v>259.01</v>
      </c>
      <c r="G491" s="1">
        <v>100414888</v>
      </c>
      <c r="H491" s="8">
        <f t="shared" si="14"/>
        <v>262.82100000000003</v>
      </c>
      <c r="I491" s="19">
        <f t="shared" si="15"/>
        <v>265.26650000000001</v>
      </c>
      <c r="J491" s="8">
        <f>testdata[[#This Row],[SMA(20)]]+0.025*testdata[[#This Row],[SMA(20)]]</f>
        <v>269.391525</v>
      </c>
      <c r="K491" s="8">
        <f>testdata[[#This Row],[SMA(20)]]-0.025*testdata[[#This Row],[SMA(20)]]</f>
        <v>256.25047500000005</v>
      </c>
      <c r="L491" s="16">
        <f>testdata[[#This Row],[close]]-testdata[[#This Row],[SMA(TW)]]</f>
        <v>-6.2565000000000168</v>
      </c>
      <c r="M491"/>
    </row>
    <row r="492" spans="1:13" x14ac:dyDescent="0.25">
      <c r="A492" s="6">
        <v>491</v>
      </c>
      <c r="B492" s="3">
        <v>43447</v>
      </c>
      <c r="C492" s="2">
        <v>260.05</v>
      </c>
      <c r="D492" s="2">
        <v>260.99</v>
      </c>
      <c r="E492" s="2">
        <v>257.70999999999998</v>
      </c>
      <c r="F492" s="2">
        <v>258.93</v>
      </c>
      <c r="G492" s="1">
        <v>99068200</v>
      </c>
      <c r="H492" s="8">
        <f t="shared" si="14"/>
        <v>262.495</v>
      </c>
      <c r="I492" s="19">
        <f t="shared" si="15"/>
        <v>265.42999999999995</v>
      </c>
      <c r="J492" s="8">
        <f>testdata[[#This Row],[SMA(20)]]+0.025*testdata[[#This Row],[SMA(20)]]</f>
        <v>269.05737499999998</v>
      </c>
      <c r="K492" s="8">
        <f>testdata[[#This Row],[SMA(20)]]-0.025*testdata[[#This Row],[SMA(20)]]</f>
        <v>255.932625</v>
      </c>
      <c r="L492" s="16">
        <f>testdata[[#This Row],[close]]-testdata[[#This Row],[SMA(TW)]]</f>
        <v>-6.4999999999999432</v>
      </c>
      <c r="M492"/>
    </row>
    <row r="493" spans="1:13" x14ac:dyDescent="0.25">
      <c r="A493" s="6">
        <v>492</v>
      </c>
      <c r="B493" s="3">
        <v>43448</v>
      </c>
      <c r="C493" s="2">
        <v>256.58</v>
      </c>
      <c r="D493" s="2">
        <v>257.62</v>
      </c>
      <c r="E493" s="2">
        <v>253.54</v>
      </c>
      <c r="F493" s="2">
        <v>254.15</v>
      </c>
      <c r="G493" s="1">
        <v>119871688</v>
      </c>
      <c r="H493" s="8">
        <f t="shared" si="14"/>
        <v>262.02050000000003</v>
      </c>
      <c r="I493" s="19">
        <f t="shared" si="15"/>
        <v>265.53450000000004</v>
      </c>
      <c r="J493" s="8">
        <f>testdata[[#This Row],[SMA(20)]]+0.025*testdata[[#This Row],[SMA(20)]]</f>
        <v>268.57101250000005</v>
      </c>
      <c r="K493" s="8">
        <f>testdata[[#This Row],[SMA(20)]]-0.025*testdata[[#This Row],[SMA(20)]]</f>
        <v>255.46998750000003</v>
      </c>
      <c r="L493" s="16">
        <f>testdata[[#This Row],[close]]-testdata[[#This Row],[SMA(TW)]]</f>
        <v>-11.384500000000031</v>
      </c>
      <c r="M493"/>
    </row>
    <row r="494" spans="1:13" x14ac:dyDescent="0.25">
      <c r="A494" s="6">
        <v>493</v>
      </c>
      <c r="B494" s="3">
        <v>43451</v>
      </c>
      <c r="C494" s="2">
        <v>253.1</v>
      </c>
      <c r="D494" s="2">
        <v>254.32</v>
      </c>
      <c r="E494" s="2">
        <v>247.37</v>
      </c>
      <c r="F494" s="2">
        <v>249.16</v>
      </c>
      <c r="G494" s="1">
        <v>169610592</v>
      </c>
      <c r="H494" s="8">
        <f t="shared" si="14"/>
        <v>261.15899999999999</v>
      </c>
      <c r="I494" s="19">
        <f t="shared" si="15"/>
        <v>265.89600000000002</v>
      </c>
      <c r="J494" s="8">
        <f>testdata[[#This Row],[SMA(20)]]+0.025*testdata[[#This Row],[SMA(20)]]</f>
        <v>267.68797499999999</v>
      </c>
      <c r="K494" s="8">
        <f>testdata[[#This Row],[SMA(20)]]-0.025*testdata[[#This Row],[SMA(20)]]</f>
        <v>254.63002499999999</v>
      </c>
      <c r="L494" s="16">
        <f>testdata[[#This Row],[close]]-testdata[[#This Row],[SMA(TW)]]</f>
        <v>-16.736000000000018</v>
      </c>
      <c r="M494"/>
    </row>
    <row r="495" spans="1:13" x14ac:dyDescent="0.25">
      <c r="A495" s="6">
        <v>494</v>
      </c>
      <c r="B495" s="3">
        <v>43452</v>
      </c>
      <c r="C495" s="2">
        <v>250.95</v>
      </c>
      <c r="D495" s="2">
        <v>251.69</v>
      </c>
      <c r="E495" s="2">
        <v>247.13</v>
      </c>
      <c r="F495" s="2">
        <v>248.89</v>
      </c>
      <c r="G495" s="1">
        <v>137862544</v>
      </c>
      <c r="H495" s="8">
        <f t="shared" si="14"/>
        <v>260.24950000000001</v>
      </c>
      <c r="I495" s="19">
        <f t="shared" si="15"/>
        <v>265.74299999999999</v>
      </c>
      <c r="J495" s="8">
        <f>testdata[[#This Row],[SMA(20)]]+0.025*testdata[[#This Row],[SMA(20)]]</f>
        <v>266.75573750000001</v>
      </c>
      <c r="K495" s="8">
        <f>testdata[[#This Row],[SMA(20)]]-0.025*testdata[[#This Row],[SMA(20)]]</f>
        <v>253.74326250000001</v>
      </c>
      <c r="L495" s="16">
        <f>testdata[[#This Row],[close]]-testdata[[#This Row],[SMA(TW)]]</f>
        <v>-16.853000000000009</v>
      </c>
      <c r="M495"/>
    </row>
    <row r="496" spans="1:13" x14ac:dyDescent="0.25">
      <c r="A496" s="6">
        <v>495</v>
      </c>
      <c r="B496" s="3">
        <v>43453</v>
      </c>
      <c r="C496" s="2">
        <v>248.97</v>
      </c>
      <c r="D496" s="2">
        <v>253.1</v>
      </c>
      <c r="E496" s="2">
        <v>243.3</v>
      </c>
      <c r="F496" s="2">
        <v>245.16</v>
      </c>
      <c r="G496" s="1">
        <v>220342928</v>
      </c>
      <c r="H496" s="8">
        <f t="shared" si="14"/>
        <v>259.37900000000002</v>
      </c>
      <c r="I496" s="19">
        <f t="shared" si="15"/>
        <v>265.48549999999994</v>
      </c>
      <c r="J496" s="8">
        <f>testdata[[#This Row],[SMA(20)]]+0.025*testdata[[#This Row],[SMA(20)]]</f>
        <v>265.86347499999999</v>
      </c>
      <c r="K496" s="8">
        <f>testdata[[#This Row],[SMA(20)]]-0.025*testdata[[#This Row],[SMA(20)]]</f>
        <v>252.89452500000002</v>
      </c>
      <c r="L496" s="16">
        <f>testdata[[#This Row],[close]]-testdata[[#This Row],[SMA(TW)]]</f>
        <v>-20.325499999999948</v>
      </c>
      <c r="M496"/>
    </row>
    <row r="497" spans="1:13" x14ac:dyDescent="0.25">
      <c r="A497" s="6">
        <v>496</v>
      </c>
      <c r="B497" s="3">
        <v>43454</v>
      </c>
      <c r="C497" s="2">
        <v>243.79</v>
      </c>
      <c r="D497" s="2">
        <v>245.51</v>
      </c>
      <c r="E497" s="2">
        <v>238.71</v>
      </c>
      <c r="F497" s="2">
        <v>241.17</v>
      </c>
      <c r="G497" s="1">
        <v>258325808</v>
      </c>
      <c r="H497" s="8">
        <f t="shared" si="14"/>
        <v>258.55200000000002</v>
      </c>
      <c r="I497" s="19">
        <f t="shared" si="15"/>
        <v>264.63449999999995</v>
      </c>
      <c r="J497" s="8">
        <f>testdata[[#This Row],[SMA(20)]]+0.025*testdata[[#This Row],[SMA(20)]]</f>
        <v>265.01580000000001</v>
      </c>
      <c r="K497" s="8">
        <f>testdata[[#This Row],[SMA(20)]]-0.025*testdata[[#This Row],[SMA(20)]]</f>
        <v>252.08820000000003</v>
      </c>
      <c r="L497" s="16">
        <f>testdata[[#This Row],[close]]-testdata[[#This Row],[SMA(TW)]]</f>
        <v>-23.464499999999958</v>
      </c>
      <c r="M497"/>
    </row>
    <row r="498" spans="1:13" x14ac:dyDescent="0.25">
      <c r="A498" s="6">
        <v>497</v>
      </c>
      <c r="B498" s="3">
        <v>43455</v>
      </c>
      <c r="C498" s="2">
        <v>242.16</v>
      </c>
      <c r="D498" s="2">
        <v>245.07</v>
      </c>
      <c r="E498" s="2">
        <v>235.52</v>
      </c>
      <c r="F498" s="2">
        <v>236.23</v>
      </c>
      <c r="G498" s="1">
        <v>260180208</v>
      </c>
      <c r="H498" s="8">
        <f t="shared" si="14"/>
        <v>257.43449999999996</v>
      </c>
      <c r="I498" s="19">
        <f t="shared" si="15"/>
        <v>263.83299999999997</v>
      </c>
      <c r="J498" s="8">
        <f>testdata[[#This Row],[SMA(20)]]+0.025*testdata[[#This Row],[SMA(20)]]</f>
        <v>263.87036249999994</v>
      </c>
      <c r="K498" s="8">
        <f>testdata[[#This Row],[SMA(20)]]-0.025*testdata[[#This Row],[SMA(20)]]</f>
        <v>250.99863749999997</v>
      </c>
      <c r="L498" s="16">
        <f>testdata[[#This Row],[close]]-testdata[[#This Row],[SMA(TW)]]</f>
        <v>-27.60299999999998</v>
      </c>
      <c r="M498"/>
    </row>
    <row r="499" spans="1:13" x14ac:dyDescent="0.25">
      <c r="A499" s="6">
        <v>498</v>
      </c>
      <c r="B499" s="3">
        <v>43458</v>
      </c>
      <c r="C499" s="2">
        <v>234.6</v>
      </c>
      <c r="D499" s="2">
        <v>236.36</v>
      </c>
      <c r="E499" s="2">
        <v>229.92</v>
      </c>
      <c r="F499" s="2">
        <v>229.99</v>
      </c>
      <c r="G499" s="1">
        <v>150100704</v>
      </c>
      <c r="H499" s="8">
        <f t="shared" si="14"/>
        <v>256.09100000000001</v>
      </c>
      <c r="I499" s="19">
        <f t="shared" si="15"/>
        <v>263.16800000000001</v>
      </c>
      <c r="J499" s="8">
        <f>testdata[[#This Row],[SMA(20)]]+0.025*testdata[[#This Row],[SMA(20)]]</f>
        <v>262.49327499999998</v>
      </c>
      <c r="K499" s="8">
        <f>testdata[[#This Row],[SMA(20)]]-0.025*testdata[[#This Row],[SMA(20)]]</f>
        <v>249.68872500000001</v>
      </c>
      <c r="L499" s="16">
        <f>testdata[[#This Row],[close]]-testdata[[#This Row],[SMA(TW)]]</f>
        <v>-33.177999999999997</v>
      </c>
      <c r="M499"/>
    </row>
    <row r="500" spans="1:13" x14ac:dyDescent="0.25">
      <c r="A500" s="6">
        <v>499</v>
      </c>
      <c r="B500" s="3">
        <v>43460</v>
      </c>
      <c r="C500" s="2">
        <v>231.59</v>
      </c>
      <c r="D500" s="2">
        <v>241.61</v>
      </c>
      <c r="E500" s="2">
        <v>229.42</v>
      </c>
      <c r="F500" s="2">
        <v>241.61</v>
      </c>
      <c r="G500" s="1">
        <v>222622048</v>
      </c>
      <c r="H500" s="8">
        <f t="shared" si="14"/>
        <v>255.12149999999997</v>
      </c>
      <c r="I500" s="19">
        <f t="shared" si="15"/>
        <v>262.82100000000003</v>
      </c>
      <c r="J500" s="8">
        <f>testdata[[#This Row],[SMA(20)]]+0.025*testdata[[#This Row],[SMA(20)]]</f>
        <v>261.49953749999997</v>
      </c>
      <c r="K500" s="8">
        <f>testdata[[#This Row],[SMA(20)]]-0.025*testdata[[#This Row],[SMA(20)]]</f>
        <v>248.74346249999996</v>
      </c>
      <c r="L500" s="16">
        <f>testdata[[#This Row],[close]]-testdata[[#This Row],[SMA(TW)]]</f>
        <v>-21.211000000000013</v>
      </c>
      <c r="M500"/>
    </row>
    <row r="501" spans="1:13" x14ac:dyDescent="0.25">
      <c r="A501" s="6">
        <v>500</v>
      </c>
      <c r="B501" s="3">
        <v>43461</v>
      </c>
      <c r="C501" s="2">
        <v>238.06</v>
      </c>
      <c r="D501" s="2">
        <v>243.68</v>
      </c>
      <c r="E501" s="2">
        <v>234.52</v>
      </c>
      <c r="F501" s="2">
        <v>243.46</v>
      </c>
      <c r="G501" s="1">
        <v>189794032</v>
      </c>
      <c r="H501" s="8">
        <f t="shared" si="14"/>
        <v>254.20049999999992</v>
      </c>
      <c r="I501" s="19">
        <f t="shared" si="15"/>
        <v>262.495</v>
      </c>
      <c r="J501" s="8">
        <f>testdata[[#This Row],[SMA(20)]]+0.025*testdata[[#This Row],[SMA(20)]]</f>
        <v>260.55551249999991</v>
      </c>
      <c r="K501" s="8">
        <f>testdata[[#This Row],[SMA(20)]]-0.025*testdata[[#This Row],[SMA(20)]]</f>
        <v>247.84548749999993</v>
      </c>
      <c r="L501" s="16">
        <f>testdata[[#This Row],[close]]-testdata[[#This Row],[SMA(TW)]]</f>
        <v>-19.034999999999997</v>
      </c>
      <c r="M501"/>
    </row>
    <row r="502" spans="1:13" x14ac:dyDescent="0.25">
      <c r="A502" s="6">
        <v>501</v>
      </c>
      <c r="B502" s="3">
        <v>43462</v>
      </c>
      <c r="C502" s="2">
        <v>244.94</v>
      </c>
      <c r="D502" s="2">
        <v>246.73</v>
      </c>
      <c r="E502" s="2">
        <v>241.87</v>
      </c>
      <c r="F502" s="2">
        <v>243.15</v>
      </c>
      <c r="G502" s="1">
        <v>155998912</v>
      </c>
      <c r="H502" s="8">
        <f t="shared" si="14"/>
        <v>252.96249999999995</v>
      </c>
      <c r="I502" s="19">
        <f t="shared" si="15"/>
        <v>262.02050000000003</v>
      </c>
      <c r="J502" s="8">
        <f>testdata[[#This Row],[SMA(20)]]+0.025*testdata[[#This Row],[SMA(20)]]</f>
        <v>259.28656249999995</v>
      </c>
      <c r="K502" s="8">
        <f>testdata[[#This Row],[SMA(20)]]-0.025*testdata[[#This Row],[SMA(20)]]</f>
        <v>246.63843749999995</v>
      </c>
      <c r="L502" s="16">
        <f>testdata[[#This Row],[close]]-testdata[[#This Row],[SMA(TW)]]</f>
        <v>-18.870500000000021</v>
      </c>
      <c r="M502"/>
    </row>
    <row r="503" spans="1:13" x14ac:dyDescent="0.25">
      <c r="A503" s="6">
        <v>502</v>
      </c>
      <c r="B503" s="3">
        <v>43465</v>
      </c>
      <c r="C503" s="2">
        <v>244.92</v>
      </c>
      <c r="D503" s="2">
        <v>245.54</v>
      </c>
      <c r="E503" s="2">
        <v>242.87</v>
      </c>
      <c r="F503" s="2">
        <v>245.28</v>
      </c>
      <c r="G503" s="1">
        <v>147031456</v>
      </c>
      <c r="H503" s="8">
        <f t="shared" si="14"/>
        <v>251.85999999999996</v>
      </c>
      <c r="I503" s="19">
        <f t="shared" si="15"/>
        <v>261.15899999999999</v>
      </c>
      <c r="J503" s="9">
        <f>testdata[[#This Row],[SMA(20)]]+0.025*testdata[[#This Row],[SMA(20)]]</f>
        <v>258.15649999999994</v>
      </c>
      <c r="K503" s="9">
        <f>testdata[[#This Row],[SMA(20)]]-0.025*testdata[[#This Row],[SMA(20)]]</f>
        <v>245.56349999999995</v>
      </c>
      <c r="L503" s="16">
        <f>testdata[[#This Row],[close]]-testdata[[#This Row],[SMA(TW)]]</f>
        <v>-15.878999999999991</v>
      </c>
      <c r="M503"/>
    </row>
    <row r="504" spans="1:13" x14ac:dyDescent="0.25">
      <c r="A504" s="12"/>
      <c r="C504" s="13"/>
      <c r="D504" s="13"/>
      <c r="E504" s="13"/>
      <c r="F504" s="13"/>
      <c r="G504" s="14"/>
      <c r="H504" s="15"/>
      <c r="I504" s="20"/>
      <c r="J504" s="15"/>
      <c r="K504" s="15"/>
      <c r="L504" s="16"/>
      <c r="M504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2020-09-14T00:08:07Z</dcterms:created>
  <dcterms:modified xsi:type="dcterms:W3CDTF">2021-01-21T14:53:27Z</dcterms:modified>
</cp:coreProperties>
</file>